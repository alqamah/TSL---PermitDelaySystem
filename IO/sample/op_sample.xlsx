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EXPECTED_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<sst xmlns="http://schemas.openxmlformats.org/spreadsheetml/2006/main" count="51" uniqueCount="43">
  <si>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 xml:space="preserve">S. NO. </t>
  </si>
  <si>
    <t>DEPARTMENT</t>
  </si>
  <si>
    <t>CONTACT PERSON</t>
  </si>
  <si>
    <t>160T</t>
  </si>
  <si>
    <t>Amount</t>
  </si>
  <si>
    <t>100T</t>
  </si>
  <si>
    <t>80T</t>
  </si>
  <si>
    <t>55T</t>
  </si>
  <si>
    <t>40T</t>
  </si>
  <si>
    <t>300T</t>
  </si>
  <si>
    <t>DEPT. TOTAL</t>
  </si>
  <si>
    <t>A TO F</t>
  </si>
  <si>
    <t>Amit Garg</t>
  </si>
  <si>
    <t>OLD COKEPLANT</t>
  </si>
  <si>
    <t>Nitin</t>
  </si>
  <si>
    <t>LD#2</t>
  </si>
  <si>
    <t>Sajal</t>
  </si>
  <si>
    <t>RMM</t>
  </si>
  <si>
    <t>Vivek</t>
  </si>
  <si>
    <t>HBF</t>
  </si>
  <si>
    <t>Nishant</t>
  </si>
  <si>
    <t>SP#2</t>
  </si>
  <si>
    <t>Manish kumar</t>
  </si>
  <si>
    <t>SP#1</t>
  </si>
  <si>
    <t>SUPAD</t>
  </si>
  <si>
    <t>IBF</t>
  </si>
  <si>
    <t>ANKIT</t>
  </si>
  <si>
    <t>RMBB#1 &amp; 2</t>
  </si>
  <si>
    <t>Vivek Kudwa</t>
  </si>
  <si>
    <t>FMD</t>
  </si>
  <si>
    <t>Ravi Jaishwal</t>
  </si>
  <si>
    <t>PP</t>
  </si>
  <si>
    <t>Dinesh Mohitkar</t>
  </si>
  <si>
    <t>LP</t>
  </si>
  <si>
    <t>SANJAY</t>
  </si>
  <si>
    <t>BPH</t>
  </si>
  <si>
    <t>SK MAHANTA</t>
  </si>
  <si>
    <t>CRM</t>
  </si>
  <si>
    <t>PK MOHANTY</t>
  </si>
  <si>
    <t>HSM</t>
  </si>
  <si>
    <t>LD#1</t>
  </si>
  <si>
    <t>LD#3 &amp; TSCR</t>
  </si>
  <si>
    <t>NET LOSS: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</si>
</sst>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"/>
    <numFmt numFmtId="181" formatCode="_(* #,##0.00_);_(* \(#,##0.00\);_(* &quot;-&quot;??_);_(@_)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i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180" fontId="0" fillId="4" borderId="1" xfId="0" applyNumberFormat="1" applyFont="1" applyFill="1" applyBorder="1" applyAlignment="1">
      <alignment horizontal="left" wrapText="1"/>
    </xf>
    <xf numFmtId="2" fontId="0" fillId="4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4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vertical="center" wrapText="1"/>
    </xf>
    <xf numFmtId="181" fontId="0" fillId="4" borderId="1" xfId="1" applyNumberFormat="1" applyFont="1" applyFill="1" applyBorder="1" applyAlignment="1">
      <alignment horizontal="left" wrapText="1"/>
    </xf>
    <xf numFmtId="181" fontId="0" fillId="7" borderId="1" xfId="0" applyNumberFormat="1" applyFont="1" applyFill="1" applyBorder="1" applyAlignment="1">
      <alignment horizontal="left" wrapText="1"/>
    </xf>
    <xf numFmtId="0" fontId="4" fillId="8" borderId="1" xfId="0" applyFont="1" applyFill="1" applyBorder="1" applyAlignment="1">
      <alignment horizontal="left" vertical="center" wrapText="1"/>
    </xf>
    <xf numFmtId="181" fontId="4" fillId="8" borderId="1" xfId="0" applyNumberFormat="1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workbookViewId="0">
      <selection activeCell="R20" sqref="A2:R20"/>
    </sheetView>
  </sheetViews>
  <sheetFormatPr defaultColWidth="8.79279279279279" defaultRowHeight="14.4"/>
  <cols>
    <col min="1" max="1" width="5.78378378378378" style="2" customWidth="1"/>
    <col min="2" max="2" width="12.4774774774775" style="3" customWidth="1"/>
    <col min="3" max="3" width="16.1621621621622" style="3" customWidth="1"/>
    <col min="4" max="4" width="6.59459459459459" style="3" customWidth="1"/>
    <col min="5" max="5" width="8.09009009009009" style="3" customWidth="1"/>
    <col min="6" max="6" width="7.37837837837838" style="3" customWidth="1"/>
    <col min="7" max="7" width="9.09009009009009" style="3" customWidth="1"/>
    <col min="8" max="8" width="5.59459459459459" style="3" customWidth="1"/>
    <col min="9" max="9" width="8.09009009009009" style="3" customWidth="1"/>
    <col min="10" max="10" width="6.59459459459459" style="3" customWidth="1"/>
    <col min="11" max="11" width="9.09009009009009" style="3" customWidth="1"/>
    <col min="12" max="12" width="6.59459459459459" style="3" customWidth="1"/>
    <col min="13" max="13" width="7.59459459459459" style="3" customWidth="1"/>
    <col min="14" max="14" width="5.59459459459459" style="3" customWidth="1"/>
    <col min="15" max="15" width="7.58558558558559" style="3" customWidth="1"/>
    <col min="16" max="16" width="5.59459459459459" style="3" customWidth="1"/>
    <col min="17" max="17" width="10.6756756756757" style="2" customWidth="1"/>
    <col min="18" max="18" width="12.7747747747748" style="2" customWidth="1"/>
  </cols>
  <sheetData>
    <row r="1" s="1" customFormat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</v>
      </c>
      <c r="H1" s="4" t="s">
        <v>6</v>
      </c>
      <c r="I1" s="4" t="s">
        <v>4</v>
      </c>
      <c r="J1" s="4" t="s">
        <v>7</v>
      </c>
      <c r="K1" s="4" t="s">
        <v>4</v>
      </c>
      <c r="L1" s="4" t="s">
        <v>8</v>
      </c>
      <c r="M1" s="4" t="s">
        <v>4</v>
      </c>
      <c r="N1" s="4" t="s">
        <v>3</v>
      </c>
      <c r="O1" s="4" t="s">
        <v>4</v>
      </c>
      <c r="P1" s="4" t="s">
        <v>9</v>
      </c>
      <c r="Q1" s="4" t="s">
        <v>4</v>
      </c>
      <c r="R1" s="14" t="s">
        <v>10</v>
      </c>
    </row>
    <row r="2" s="1" customFormat="1" spans="1:18">
      <c r="A2" s="5">
        <v>1</v>
      </c>
      <c r="B2" s="6" t="s">
        <v>11</v>
      </c>
      <c r="C2" s="7" t="s">
        <v>12</v>
      </c>
      <c r="D2" s="7">
        <v>0</v>
      </c>
      <c r="E2" s="8">
        <f t="shared" ref="E2:E19" si="0">D2*2564.1</f>
        <v>0</v>
      </c>
      <c r="F2" s="7">
        <v>7.49</v>
      </c>
      <c r="G2" s="9">
        <f t="shared" ref="G2:G19" si="1">F2*1602.56</f>
        <v>12003.1744</v>
      </c>
      <c r="H2" s="7">
        <v>1.04</v>
      </c>
      <c r="I2" s="9">
        <f t="shared" ref="I2:I19" si="2">H2*1362.18</f>
        <v>1416.6672</v>
      </c>
      <c r="J2" s="7">
        <v>9</v>
      </c>
      <c r="K2" s="9">
        <f t="shared" ref="K2:K19" si="3">J2*1442.31</f>
        <v>12980.79</v>
      </c>
      <c r="L2" s="7">
        <v>8</v>
      </c>
      <c r="M2" s="13">
        <f t="shared" ref="M2:M19" si="4">L2*1350</f>
        <v>10800</v>
      </c>
      <c r="N2" s="7">
        <v>2</v>
      </c>
      <c r="O2" s="13">
        <f t="shared" ref="O2:O19" si="5">N2*2628</f>
        <v>5256</v>
      </c>
      <c r="P2" s="7">
        <v>0</v>
      </c>
      <c r="Q2" s="15">
        <f t="shared" ref="Q2:Q19" si="6">P2*4247</f>
        <v>0</v>
      </c>
      <c r="R2" s="16">
        <f>Q2+O2+M2+K2+I2+G2+E2</f>
        <v>42456.6316</v>
      </c>
    </row>
    <row r="3" s="1" customFormat="1" ht="25.5" spans="1:18">
      <c r="A3" s="5">
        <v>2</v>
      </c>
      <c r="B3" s="6" t="s">
        <v>13</v>
      </c>
      <c r="C3" s="5" t="s">
        <v>14</v>
      </c>
      <c r="D3" s="5">
        <v>0</v>
      </c>
      <c r="E3" s="8">
        <f t="shared" si="0"/>
        <v>0</v>
      </c>
      <c r="F3" s="5">
        <v>4.11</v>
      </c>
      <c r="G3" s="9">
        <f t="shared" si="1"/>
        <v>6586.5216</v>
      </c>
      <c r="H3" s="5">
        <v>1.98</v>
      </c>
      <c r="I3" s="9">
        <f t="shared" si="2"/>
        <v>2697.1164</v>
      </c>
      <c r="J3" s="5">
        <v>1.45</v>
      </c>
      <c r="K3" s="9">
        <f t="shared" si="3"/>
        <v>2091.3495</v>
      </c>
      <c r="L3" s="5">
        <v>12</v>
      </c>
      <c r="M3" s="13">
        <f t="shared" si="4"/>
        <v>16200</v>
      </c>
      <c r="N3" s="7">
        <v>3.75</v>
      </c>
      <c r="O3" s="13">
        <f t="shared" si="5"/>
        <v>9855</v>
      </c>
      <c r="P3" s="7">
        <v>0.75</v>
      </c>
      <c r="Q3" s="15">
        <f t="shared" si="6"/>
        <v>3185.25</v>
      </c>
      <c r="R3" s="16">
        <f t="shared" ref="R2:R19" si="7">Q3+O3+M3+K3+I3+G3+E3</f>
        <v>40615.2375</v>
      </c>
    </row>
    <row r="4" s="1" customFormat="1" spans="1:18">
      <c r="A4" s="5">
        <v>3</v>
      </c>
      <c r="B4" s="6" t="s">
        <v>15</v>
      </c>
      <c r="C4" s="7" t="s">
        <v>16</v>
      </c>
      <c r="D4" s="7">
        <v>0</v>
      </c>
      <c r="E4" s="8">
        <f t="shared" si="0"/>
        <v>0</v>
      </c>
      <c r="F4" s="7">
        <v>0</v>
      </c>
      <c r="G4" s="9">
        <f t="shared" si="1"/>
        <v>0</v>
      </c>
      <c r="H4" s="7">
        <v>0</v>
      </c>
      <c r="I4" s="9">
        <f t="shared" si="2"/>
        <v>0</v>
      </c>
      <c r="J4" s="7">
        <v>1.42</v>
      </c>
      <c r="K4" s="9">
        <f t="shared" si="3"/>
        <v>2048.0802</v>
      </c>
      <c r="L4" s="7">
        <v>0.5</v>
      </c>
      <c r="M4" s="13">
        <f t="shared" si="4"/>
        <v>675</v>
      </c>
      <c r="N4" s="7">
        <v>0.5</v>
      </c>
      <c r="O4" s="13">
        <f t="shared" si="5"/>
        <v>1314</v>
      </c>
      <c r="P4" s="7">
        <v>0</v>
      </c>
      <c r="Q4" s="15">
        <f t="shared" si="6"/>
        <v>0</v>
      </c>
      <c r="R4" s="16">
        <f t="shared" si="7"/>
        <v>4037.0802</v>
      </c>
    </row>
    <row r="5" s="1" customFormat="1" spans="1:18">
      <c r="A5" s="5">
        <v>4</v>
      </c>
      <c r="B5" s="6" t="s">
        <v>17</v>
      </c>
      <c r="C5" s="7" t="s">
        <v>18</v>
      </c>
      <c r="D5" s="7">
        <v>0</v>
      </c>
      <c r="E5" s="8">
        <f t="shared" si="0"/>
        <v>0</v>
      </c>
      <c r="F5" s="7">
        <v>0.5</v>
      </c>
      <c r="G5" s="9">
        <f t="shared" si="1"/>
        <v>801.28</v>
      </c>
      <c r="H5" s="7">
        <v>0</v>
      </c>
      <c r="I5" s="9">
        <f t="shared" si="2"/>
        <v>0</v>
      </c>
      <c r="J5" s="7">
        <v>0.25</v>
      </c>
      <c r="K5" s="9">
        <f t="shared" si="3"/>
        <v>360.5775</v>
      </c>
      <c r="L5" s="7">
        <v>8</v>
      </c>
      <c r="M5" s="13">
        <f t="shared" si="4"/>
        <v>10800</v>
      </c>
      <c r="N5" s="7">
        <v>2.5</v>
      </c>
      <c r="O5" s="13">
        <f t="shared" si="5"/>
        <v>6570</v>
      </c>
      <c r="P5" s="7">
        <v>1</v>
      </c>
      <c r="Q5" s="15">
        <f t="shared" si="6"/>
        <v>4247</v>
      </c>
      <c r="R5" s="16">
        <f t="shared" si="7"/>
        <v>22778.8575</v>
      </c>
    </row>
    <row r="6" s="1" customFormat="1" spans="1:18">
      <c r="A6" s="5">
        <v>5</v>
      </c>
      <c r="B6" s="6" t="s">
        <v>19</v>
      </c>
      <c r="C6" s="7" t="s">
        <v>20</v>
      </c>
      <c r="D6" s="7">
        <v>0</v>
      </c>
      <c r="E6" s="8">
        <f t="shared" si="0"/>
        <v>0</v>
      </c>
      <c r="F6" s="7">
        <v>0.68</v>
      </c>
      <c r="G6" s="9">
        <f t="shared" si="1"/>
        <v>1089.7408</v>
      </c>
      <c r="H6" s="7">
        <v>1.46</v>
      </c>
      <c r="I6" s="9">
        <f t="shared" si="2"/>
        <v>1988.7828</v>
      </c>
      <c r="J6" s="7">
        <v>0</v>
      </c>
      <c r="K6" s="9">
        <f t="shared" si="3"/>
        <v>0</v>
      </c>
      <c r="L6" s="7">
        <v>2.5</v>
      </c>
      <c r="M6" s="13">
        <f t="shared" si="4"/>
        <v>3375</v>
      </c>
      <c r="N6" s="7">
        <v>0.5</v>
      </c>
      <c r="O6" s="13">
        <f t="shared" si="5"/>
        <v>1314</v>
      </c>
      <c r="P6" s="7">
        <v>0</v>
      </c>
      <c r="Q6" s="15">
        <f t="shared" si="6"/>
        <v>0</v>
      </c>
      <c r="R6" s="16">
        <f t="shared" si="7"/>
        <v>7767.5236</v>
      </c>
    </row>
    <row r="7" s="1" customFormat="1" spans="1:18">
      <c r="A7" s="5">
        <v>6</v>
      </c>
      <c r="B7" s="6" t="s">
        <v>21</v>
      </c>
      <c r="C7" s="7" t="s">
        <v>22</v>
      </c>
      <c r="D7" s="7">
        <v>0</v>
      </c>
      <c r="E7" s="8">
        <f t="shared" si="0"/>
        <v>0</v>
      </c>
      <c r="F7" s="7">
        <v>5.53</v>
      </c>
      <c r="G7" s="9">
        <f t="shared" si="1"/>
        <v>8862.1568</v>
      </c>
      <c r="H7" s="7">
        <v>2.54</v>
      </c>
      <c r="I7" s="9">
        <f t="shared" si="2"/>
        <v>3459.9372</v>
      </c>
      <c r="J7" s="7">
        <v>12.54</v>
      </c>
      <c r="K7" s="9">
        <f t="shared" si="3"/>
        <v>18086.5674</v>
      </c>
      <c r="L7" s="7">
        <v>0</v>
      </c>
      <c r="M7" s="13">
        <f t="shared" si="4"/>
        <v>0</v>
      </c>
      <c r="N7" s="7">
        <v>0</v>
      </c>
      <c r="O7" s="13">
        <f t="shared" si="5"/>
        <v>0</v>
      </c>
      <c r="P7" s="7">
        <v>21</v>
      </c>
      <c r="Q7" s="15">
        <f t="shared" si="6"/>
        <v>89187</v>
      </c>
      <c r="R7" s="16">
        <f t="shared" si="7"/>
        <v>119595.6614</v>
      </c>
    </row>
    <row r="8" s="1" customFormat="1" spans="1:18">
      <c r="A8" s="5">
        <v>7</v>
      </c>
      <c r="B8" s="6" t="s">
        <v>23</v>
      </c>
      <c r="C8" s="7" t="s">
        <v>24</v>
      </c>
      <c r="D8" s="7">
        <v>0</v>
      </c>
      <c r="E8" s="8">
        <f t="shared" si="0"/>
        <v>0</v>
      </c>
      <c r="F8" s="7">
        <v>6.55</v>
      </c>
      <c r="G8" s="9">
        <f t="shared" si="1"/>
        <v>10496.768</v>
      </c>
      <c r="H8" s="7">
        <v>1.28</v>
      </c>
      <c r="I8" s="9">
        <f t="shared" si="2"/>
        <v>1743.5904</v>
      </c>
      <c r="J8" s="7">
        <v>1.46</v>
      </c>
      <c r="K8" s="9">
        <f t="shared" si="3"/>
        <v>2105.7726</v>
      </c>
      <c r="L8" s="7">
        <v>2</v>
      </c>
      <c r="M8" s="13">
        <f t="shared" si="4"/>
        <v>2700</v>
      </c>
      <c r="N8" s="7">
        <v>0</v>
      </c>
      <c r="O8" s="13">
        <f t="shared" si="5"/>
        <v>0</v>
      </c>
      <c r="P8" s="7">
        <v>1.25</v>
      </c>
      <c r="Q8" s="15">
        <f t="shared" si="6"/>
        <v>5308.75</v>
      </c>
      <c r="R8" s="16">
        <f t="shared" si="7"/>
        <v>22354.881</v>
      </c>
    </row>
    <row r="9" s="1" customFormat="1" spans="1:18">
      <c r="A9" s="5">
        <v>8</v>
      </c>
      <c r="B9" s="6" t="s">
        <v>25</v>
      </c>
      <c r="C9" s="7" t="s">
        <v>26</v>
      </c>
      <c r="D9" s="7">
        <v>0</v>
      </c>
      <c r="E9" s="8">
        <f t="shared" si="0"/>
        <v>0</v>
      </c>
      <c r="F9" s="7">
        <v>1.88</v>
      </c>
      <c r="G9" s="9">
        <f t="shared" si="1"/>
        <v>3012.8128</v>
      </c>
      <c r="H9" s="7">
        <v>3.6</v>
      </c>
      <c r="I9" s="9">
        <f t="shared" si="2"/>
        <v>4903.848</v>
      </c>
      <c r="J9" s="7">
        <v>0</v>
      </c>
      <c r="K9" s="9">
        <f t="shared" si="3"/>
        <v>0</v>
      </c>
      <c r="L9" s="7">
        <v>14</v>
      </c>
      <c r="M9" s="13">
        <f t="shared" si="4"/>
        <v>18900</v>
      </c>
      <c r="N9" s="7">
        <v>0</v>
      </c>
      <c r="O9" s="13">
        <f t="shared" si="5"/>
        <v>0</v>
      </c>
      <c r="P9" s="7">
        <v>0.5</v>
      </c>
      <c r="Q9" s="15">
        <f t="shared" si="6"/>
        <v>2123.5</v>
      </c>
      <c r="R9" s="16">
        <f t="shared" si="7"/>
        <v>28940.1608</v>
      </c>
    </row>
    <row r="10" s="1" customFormat="1" spans="1:18">
      <c r="A10" s="5">
        <v>9</v>
      </c>
      <c r="B10" s="6" t="s">
        <v>27</v>
      </c>
      <c r="C10" s="7" t="s">
        <v>28</v>
      </c>
      <c r="D10" s="7">
        <v>0</v>
      </c>
      <c r="E10" s="8">
        <f t="shared" si="0"/>
        <v>0</v>
      </c>
      <c r="F10" s="7">
        <v>0.3</v>
      </c>
      <c r="G10" s="9">
        <f t="shared" si="1"/>
        <v>480.768</v>
      </c>
      <c r="H10" s="7">
        <v>3.38</v>
      </c>
      <c r="I10" s="9">
        <f t="shared" si="2"/>
        <v>4604.1684</v>
      </c>
      <c r="J10" s="7">
        <v>2.2</v>
      </c>
      <c r="K10" s="9">
        <f t="shared" si="3"/>
        <v>3173.082</v>
      </c>
      <c r="L10" s="7">
        <v>0</v>
      </c>
      <c r="M10" s="13">
        <f t="shared" si="4"/>
        <v>0</v>
      </c>
      <c r="N10" s="7">
        <v>0</v>
      </c>
      <c r="O10" s="13">
        <f t="shared" si="5"/>
        <v>0</v>
      </c>
      <c r="P10" s="7">
        <v>0.5</v>
      </c>
      <c r="Q10" s="15">
        <f t="shared" si="6"/>
        <v>2123.5</v>
      </c>
      <c r="R10" s="16">
        <f t="shared" si="7"/>
        <v>10381.5184</v>
      </c>
    </row>
    <row r="11" s="1" customFormat="1" spans="1:18">
      <c r="A11" s="5">
        <v>10</v>
      </c>
      <c r="B11" s="6" t="s">
        <v>29</v>
      </c>
      <c r="C11" s="7" t="s">
        <v>30</v>
      </c>
      <c r="D11" s="7">
        <v>16.25</v>
      </c>
      <c r="E11" s="8">
        <f t="shared" si="0"/>
        <v>41666.625</v>
      </c>
      <c r="F11" s="7">
        <v>11.4</v>
      </c>
      <c r="G11" s="9">
        <f t="shared" si="1"/>
        <v>18269.184</v>
      </c>
      <c r="H11" s="7">
        <v>4.61</v>
      </c>
      <c r="I11" s="9">
        <f t="shared" si="2"/>
        <v>6279.6498</v>
      </c>
      <c r="J11" s="7">
        <v>9.38</v>
      </c>
      <c r="K11" s="9">
        <f t="shared" si="3"/>
        <v>13528.8678</v>
      </c>
      <c r="L11" s="7">
        <v>1.25</v>
      </c>
      <c r="M11" s="13">
        <f t="shared" si="4"/>
        <v>1687.5</v>
      </c>
      <c r="N11" s="7">
        <v>2</v>
      </c>
      <c r="O11" s="13">
        <f t="shared" si="5"/>
        <v>5256</v>
      </c>
      <c r="P11" s="7">
        <v>4.75</v>
      </c>
      <c r="Q11" s="15">
        <f t="shared" si="6"/>
        <v>20173.25</v>
      </c>
      <c r="R11" s="16">
        <f t="shared" si="7"/>
        <v>106861.0766</v>
      </c>
    </row>
    <row r="12" s="1" customFormat="1" spans="1:18">
      <c r="A12" s="5">
        <v>11</v>
      </c>
      <c r="B12" s="6" t="s">
        <v>31</v>
      </c>
      <c r="C12" s="7" t="s">
        <v>32</v>
      </c>
      <c r="D12" s="7">
        <v>0</v>
      </c>
      <c r="E12" s="8">
        <f t="shared" si="0"/>
        <v>0</v>
      </c>
      <c r="F12" s="7">
        <v>0</v>
      </c>
      <c r="G12" s="9">
        <f t="shared" si="1"/>
        <v>0</v>
      </c>
      <c r="H12" s="7">
        <v>6.73</v>
      </c>
      <c r="I12" s="9">
        <f t="shared" si="2"/>
        <v>9167.4714</v>
      </c>
      <c r="J12" s="7">
        <v>1.7</v>
      </c>
      <c r="K12" s="9">
        <f t="shared" si="3"/>
        <v>2451.927</v>
      </c>
      <c r="L12" s="7">
        <v>19.44</v>
      </c>
      <c r="M12" s="13">
        <f t="shared" si="4"/>
        <v>26244</v>
      </c>
      <c r="N12" s="7">
        <v>1.5</v>
      </c>
      <c r="O12" s="13">
        <f t="shared" si="5"/>
        <v>3942</v>
      </c>
      <c r="P12" s="7">
        <v>0.5</v>
      </c>
      <c r="Q12" s="15">
        <f t="shared" si="6"/>
        <v>2123.5</v>
      </c>
      <c r="R12" s="16">
        <f t="shared" si="7"/>
        <v>43928.8984</v>
      </c>
    </row>
    <row r="13" s="1" customFormat="1" spans="1:18">
      <c r="A13" s="5">
        <v>12</v>
      </c>
      <c r="B13" s="6" t="s">
        <v>33</v>
      </c>
      <c r="C13" s="7" t="s">
        <v>34</v>
      </c>
      <c r="D13" s="7">
        <v>0</v>
      </c>
      <c r="E13" s="8">
        <f t="shared" si="0"/>
        <v>0</v>
      </c>
      <c r="F13" s="7">
        <v>1.51</v>
      </c>
      <c r="G13" s="9">
        <f t="shared" si="1"/>
        <v>2419.8656</v>
      </c>
      <c r="H13" s="7">
        <v>2.41</v>
      </c>
      <c r="I13" s="9">
        <f t="shared" si="2"/>
        <v>3282.8538</v>
      </c>
      <c r="J13" s="7">
        <v>0.63</v>
      </c>
      <c r="K13" s="9">
        <f t="shared" si="3"/>
        <v>908.6553</v>
      </c>
      <c r="L13" s="7">
        <v>0</v>
      </c>
      <c r="M13" s="13">
        <f t="shared" si="4"/>
        <v>0</v>
      </c>
      <c r="N13" s="7">
        <v>0.5</v>
      </c>
      <c r="O13" s="13">
        <f t="shared" si="5"/>
        <v>1314</v>
      </c>
      <c r="P13" s="7">
        <v>0</v>
      </c>
      <c r="Q13" s="15">
        <f t="shared" si="6"/>
        <v>0</v>
      </c>
      <c r="R13" s="16">
        <f t="shared" si="7"/>
        <v>7925.3747</v>
      </c>
    </row>
    <row r="14" s="1" customFormat="1" spans="1:18">
      <c r="A14" s="5">
        <v>13</v>
      </c>
      <c r="B14" s="6" t="s">
        <v>35</v>
      </c>
      <c r="C14" s="7" t="s">
        <v>36</v>
      </c>
      <c r="D14" s="7">
        <v>0</v>
      </c>
      <c r="E14" s="8">
        <f t="shared" si="0"/>
        <v>0</v>
      </c>
      <c r="F14" s="7">
        <v>0</v>
      </c>
      <c r="G14" s="9">
        <f t="shared" si="1"/>
        <v>0</v>
      </c>
      <c r="H14" s="7">
        <v>0</v>
      </c>
      <c r="I14" s="9">
        <f t="shared" si="2"/>
        <v>0</v>
      </c>
      <c r="J14" s="7">
        <v>0</v>
      </c>
      <c r="K14" s="9">
        <f t="shared" si="3"/>
        <v>0</v>
      </c>
      <c r="L14" s="7">
        <v>4</v>
      </c>
      <c r="M14" s="13">
        <f t="shared" si="4"/>
        <v>5400</v>
      </c>
      <c r="N14" s="7">
        <v>0</v>
      </c>
      <c r="O14" s="13">
        <f t="shared" si="5"/>
        <v>0</v>
      </c>
      <c r="P14" s="7">
        <v>0</v>
      </c>
      <c r="Q14" s="15">
        <f t="shared" si="6"/>
        <v>0</v>
      </c>
      <c r="R14" s="16">
        <f t="shared" si="7"/>
        <v>5400</v>
      </c>
    </row>
    <row r="15" s="1" customFormat="1" spans="1:18">
      <c r="A15" s="5">
        <v>14</v>
      </c>
      <c r="B15" s="6" t="s">
        <v>37</v>
      </c>
      <c r="C15" s="7" t="s">
        <v>38</v>
      </c>
      <c r="D15" s="7">
        <v>0</v>
      </c>
      <c r="E15" s="8">
        <f t="shared" si="0"/>
        <v>0</v>
      </c>
      <c r="F15" s="7">
        <v>0</v>
      </c>
      <c r="G15" s="9">
        <f t="shared" si="1"/>
        <v>0</v>
      </c>
      <c r="H15" s="7">
        <v>0.73</v>
      </c>
      <c r="I15" s="9">
        <f t="shared" si="2"/>
        <v>994.3914</v>
      </c>
      <c r="J15" s="7">
        <v>0</v>
      </c>
      <c r="K15" s="9">
        <f t="shared" si="3"/>
        <v>0</v>
      </c>
      <c r="L15" s="7">
        <v>0.25</v>
      </c>
      <c r="M15" s="13">
        <f t="shared" si="4"/>
        <v>337.5</v>
      </c>
      <c r="N15" s="7">
        <v>0</v>
      </c>
      <c r="O15" s="13">
        <f t="shared" si="5"/>
        <v>0</v>
      </c>
      <c r="P15" s="7">
        <v>0</v>
      </c>
      <c r="Q15" s="15">
        <f t="shared" si="6"/>
        <v>0</v>
      </c>
      <c r="R15" s="16">
        <f t="shared" si="7"/>
        <v>1331.8914</v>
      </c>
    </row>
    <row r="16" s="1" customFormat="1" spans="1:18">
      <c r="A16" s="5">
        <v>15</v>
      </c>
      <c r="B16" s="6" t="s">
        <v>39</v>
      </c>
      <c r="C16" s="7"/>
      <c r="D16" s="7">
        <v>0</v>
      </c>
      <c r="E16" s="8">
        <f t="shared" si="0"/>
        <v>0</v>
      </c>
      <c r="F16" s="7">
        <v>0</v>
      </c>
      <c r="G16" s="9">
        <f t="shared" si="1"/>
        <v>0</v>
      </c>
      <c r="H16" s="7">
        <v>0</v>
      </c>
      <c r="I16" s="9">
        <f t="shared" si="2"/>
        <v>0</v>
      </c>
      <c r="J16" s="7">
        <v>0</v>
      </c>
      <c r="K16" s="9">
        <f t="shared" si="3"/>
        <v>0</v>
      </c>
      <c r="L16" s="7">
        <v>2.25</v>
      </c>
      <c r="M16" s="13">
        <f t="shared" si="4"/>
        <v>3037.5</v>
      </c>
      <c r="N16" s="7">
        <v>0</v>
      </c>
      <c r="O16" s="13">
        <f t="shared" si="5"/>
        <v>0</v>
      </c>
      <c r="P16" s="7">
        <v>0</v>
      </c>
      <c r="Q16" s="15">
        <f t="shared" si="6"/>
        <v>0</v>
      </c>
      <c r="R16" s="16">
        <f t="shared" si="7"/>
        <v>3037.5</v>
      </c>
    </row>
    <row r="17" s="1" customFormat="1" spans="1:18">
      <c r="A17" s="5">
        <v>16</v>
      </c>
      <c r="B17" s="6" t="s">
        <v>40</v>
      </c>
      <c r="C17" s="7"/>
      <c r="D17" s="7">
        <v>0</v>
      </c>
      <c r="E17" s="8">
        <f t="shared" si="0"/>
        <v>0</v>
      </c>
      <c r="F17" s="7">
        <v>0</v>
      </c>
      <c r="G17" s="9">
        <f t="shared" si="1"/>
        <v>0</v>
      </c>
      <c r="H17" s="7">
        <v>0.86</v>
      </c>
      <c r="I17" s="9">
        <f t="shared" si="2"/>
        <v>1171.4748</v>
      </c>
      <c r="J17" s="7">
        <v>4.23</v>
      </c>
      <c r="K17" s="9">
        <f t="shared" si="3"/>
        <v>6100.9713</v>
      </c>
      <c r="L17" s="7">
        <v>20</v>
      </c>
      <c r="M17" s="13">
        <f t="shared" si="4"/>
        <v>27000</v>
      </c>
      <c r="N17" s="7">
        <v>0</v>
      </c>
      <c r="O17" s="13">
        <f t="shared" si="5"/>
        <v>0</v>
      </c>
      <c r="P17" s="7">
        <v>0</v>
      </c>
      <c r="Q17" s="15">
        <f t="shared" si="6"/>
        <v>0</v>
      </c>
      <c r="R17" s="16">
        <f t="shared" si="7"/>
        <v>34272.4461</v>
      </c>
    </row>
    <row r="18" s="1" customFormat="1" spans="1:18">
      <c r="A18" s="5">
        <v>17</v>
      </c>
      <c r="B18" s="6" t="s">
        <v>15</v>
      </c>
      <c r="C18" s="7"/>
      <c r="D18" s="7">
        <v>0</v>
      </c>
      <c r="E18" s="8">
        <f t="shared" si="0"/>
        <v>0</v>
      </c>
      <c r="F18" s="7">
        <v>0</v>
      </c>
      <c r="G18" s="9">
        <f t="shared" si="1"/>
        <v>0</v>
      </c>
      <c r="H18" s="7">
        <v>0</v>
      </c>
      <c r="I18" s="9">
        <f t="shared" si="2"/>
        <v>0</v>
      </c>
      <c r="J18" s="7">
        <v>1.42</v>
      </c>
      <c r="K18" s="9">
        <f t="shared" si="3"/>
        <v>2048.0802</v>
      </c>
      <c r="L18" s="7">
        <v>0</v>
      </c>
      <c r="M18" s="13">
        <f t="shared" si="4"/>
        <v>0</v>
      </c>
      <c r="N18" s="7">
        <v>0</v>
      </c>
      <c r="O18" s="13">
        <f t="shared" si="5"/>
        <v>0</v>
      </c>
      <c r="P18" s="7">
        <v>0</v>
      </c>
      <c r="Q18" s="15">
        <f t="shared" si="6"/>
        <v>0</v>
      </c>
      <c r="R18" s="16">
        <f t="shared" si="7"/>
        <v>2048.0802</v>
      </c>
    </row>
    <row r="19" s="1" customFormat="1" spans="1:18">
      <c r="A19" s="5">
        <v>18</v>
      </c>
      <c r="B19" s="6" t="s">
        <v>41</v>
      </c>
      <c r="C19" s="7"/>
      <c r="D19" s="7">
        <v>0</v>
      </c>
      <c r="E19" s="8">
        <f t="shared" si="0"/>
        <v>0</v>
      </c>
      <c r="F19" s="7">
        <v>0.33</v>
      </c>
      <c r="G19" s="9">
        <f t="shared" si="1"/>
        <v>528.8448</v>
      </c>
      <c r="H19" s="7">
        <v>5.38</v>
      </c>
      <c r="I19" s="9">
        <f t="shared" si="2"/>
        <v>7328.5284</v>
      </c>
      <c r="J19" s="7">
        <v>1.73</v>
      </c>
      <c r="K19" s="9">
        <f t="shared" si="3"/>
        <v>2495.1963</v>
      </c>
      <c r="L19" s="7">
        <v>8</v>
      </c>
      <c r="M19" s="13">
        <f t="shared" si="4"/>
        <v>10800</v>
      </c>
      <c r="N19" s="7">
        <v>0</v>
      </c>
      <c r="O19" s="13">
        <f t="shared" si="5"/>
        <v>0</v>
      </c>
      <c r="P19" s="7">
        <v>0</v>
      </c>
      <c r="Q19" s="15">
        <f t="shared" si="6"/>
        <v>0</v>
      </c>
      <c r="R19" s="16">
        <f t="shared" si="7"/>
        <v>21152.5695</v>
      </c>
    </row>
    <row r="20" s="1" customFormat="1" spans="1:18">
      <c r="A20" s="10"/>
      <c r="B20" s="11"/>
      <c r="C20" s="10"/>
      <c r="D20" s="12"/>
      <c r="E20" s="10"/>
      <c r="F20" s="12"/>
      <c r="G20" s="10"/>
      <c r="H20" s="12"/>
      <c r="J20" s="12"/>
      <c r="K20" s="10"/>
      <c r="L20" s="12"/>
      <c r="M20" s="10"/>
      <c r="N20" s="12"/>
      <c r="O20" s="10"/>
      <c r="P20" s="12"/>
      <c r="Q20" s="17" t="s">
        <v>42</v>
      </c>
      <c r="R20" s="18">
        <f>SUM(R2:R19)</f>
        <v>524885.3889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EXPECTED_OP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2026-03-28T14:11:00Z</dcterms:created>
  <dcterms:modified xsi:type="dcterms:W3CDTF">2026-03-28T19:36:21Z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3223F1BB1E90413EA1804A63FFE3A011_11</vt:lpwstr>
  </property>
  <property fmtid="{D5CDD505-2E9C-101B-9397-08002B2CF9AE}" pid="3" name="KSOProductBuildVer">
    <vt:lpwstr>2057-12.2.0.23197</vt:lpwstr>
  </property>
</Properties>
</file>