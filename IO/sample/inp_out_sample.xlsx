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activeTab="1"/>
  </bookViews>
  <sheets>
    <sheet name="sample ip_ OLD" sheetId="1" r:id="rId1"/>
    <sheet name="sample op" sheetId="2" r:id="rId2"/>
  </sheets>
  <definedNames>
    <definedName name="_xlnm._FilterDatabase" localSheetId="0" hidden="1">'sample ip_ OLD'!$A$2:$M$219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<sst xmlns="http://schemas.openxmlformats.org/spreadsheetml/2006/main" count="931" uniqueCount="212">
  <si>
    <t>DAILY WISE Permit Report</t>
  </si>
  <si>
    <t>DATE</t>
  </si>
  <si>
    <t>Crane</t>
  </si>
  <si>
    <t>Department</t>
  </si>
  <si>
    <t>User Name</t>
  </si>
  <si>
    <t>Permit No.</t>
  </si>
  <si>
    <t>User Contact no</t>
  </si>
  <si>
    <t>Actual team reported time at site</t>
  </si>
  <si>
    <t>ACTUAL Permit Handover Time</t>
  </si>
  <si>
    <t>Actual Delay Hours/minutes</t>
  </si>
  <si>
    <t>HMR Reading starting</t>
  </si>
  <si>
    <t>HMR Reading Ending</t>
  </si>
  <si>
    <t>Utilization</t>
  </si>
  <si>
    <t>Remarks</t>
  </si>
  <si>
    <t>160T-1</t>
  </si>
  <si>
    <t>FMM</t>
  </si>
  <si>
    <t>M.OFF</t>
  </si>
  <si>
    <t>300T-1</t>
  </si>
  <si>
    <t>300T-2</t>
  </si>
  <si>
    <t>SP#1</t>
  </si>
  <si>
    <t>MR.ADITYA SARDA</t>
  </si>
  <si>
    <t>26 min</t>
  </si>
  <si>
    <t>9502/3414</t>
  </si>
  <si>
    <t>9505/3414</t>
  </si>
  <si>
    <t>3/1</t>
  </si>
  <si>
    <t>E-BF</t>
  </si>
  <si>
    <t>MR.VINAY TIWARY</t>
  </si>
  <si>
    <t>30 min</t>
  </si>
  <si>
    <t>SP#2</t>
  </si>
  <si>
    <t>MR.SWASTIK LENKA</t>
  </si>
  <si>
    <t>RMM</t>
  </si>
  <si>
    <t>MR.BHOLA TIWARY</t>
  </si>
  <si>
    <t>31 min</t>
  </si>
  <si>
    <t>9508/3417</t>
  </si>
  <si>
    <t>3/3</t>
  </si>
  <si>
    <t xml:space="preserve"> 160T-1</t>
  </si>
  <si>
    <t>33 min</t>
  </si>
  <si>
    <t>27 min</t>
  </si>
  <si>
    <t>14322/4370</t>
  </si>
  <si>
    <t>14326/4371</t>
  </si>
  <si>
    <t>4/1</t>
  </si>
  <si>
    <t>29 min</t>
  </si>
  <si>
    <t>9510/3419</t>
  </si>
  <si>
    <t>2/2</t>
  </si>
  <si>
    <t>23 min</t>
  </si>
  <si>
    <t>2</t>
  </si>
  <si>
    <t>14328/4372</t>
  </si>
  <si>
    <t>2/1</t>
  </si>
  <si>
    <t>FMD</t>
  </si>
  <si>
    <t>MR.UJJAL</t>
  </si>
  <si>
    <t>9512/3420</t>
  </si>
  <si>
    <t>MR.SUJOY MUKHARJI</t>
  </si>
  <si>
    <t>3</t>
  </si>
  <si>
    <t>I-BF</t>
  </si>
  <si>
    <t>MR RAHUL SINHA</t>
  </si>
  <si>
    <t>14329/4372</t>
  </si>
  <si>
    <t>MR.RAHUL SINHA</t>
  </si>
  <si>
    <t>24 min</t>
  </si>
  <si>
    <t>14332/4373</t>
  </si>
  <si>
    <t>32 min</t>
  </si>
  <si>
    <t>14335/4373</t>
  </si>
  <si>
    <t>14340/4374</t>
  </si>
  <si>
    <t>MR.BHANU PRATAP</t>
  </si>
  <si>
    <t>9512/3421</t>
  </si>
  <si>
    <t>1/1</t>
  </si>
  <si>
    <t>14343/4374</t>
  </si>
  <si>
    <t>30 MIN</t>
  </si>
  <si>
    <t>9512/3422</t>
  </si>
  <si>
    <t>28 min</t>
  </si>
  <si>
    <t>14347/4375</t>
  </si>
  <si>
    <t>45 min</t>
  </si>
  <si>
    <t>9516/3423</t>
  </si>
  <si>
    <t>37 min</t>
  </si>
  <si>
    <t>14350/4375</t>
  </si>
  <si>
    <t>9519/3424</t>
  </si>
  <si>
    <t>14353/4376</t>
  </si>
  <si>
    <t>9521/3425</t>
  </si>
  <si>
    <t>14356/4376</t>
  </si>
  <si>
    <t>14358/4376</t>
  </si>
  <si>
    <t>14359/4376</t>
  </si>
  <si>
    <t>MR.BISWAJIT PAUL</t>
  </si>
  <si>
    <t>4</t>
  </si>
  <si>
    <t>14362/4376</t>
  </si>
  <si>
    <t>MR.SANJAY KUMAR</t>
  </si>
  <si>
    <t>14365/4376</t>
  </si>
  <si>
    <t>MR.KADMA RAGHU</t>
  </si>
  <si>
    <t>15 min</t>
  </si>
  <si>
    <t>20 min</t>
  </si>
  <si>
    <t>14370/4376</t>
  </si>
  <si>
    <t>5/1</t>
  </si>
  <si>
    <t>14375/4376</t>
  </si>
  <si>
    <t>14379/4376</t>
  </si>
  <si>
    <t>14383/4376</t>
  </si>
  <si>
    <t>H-BF</t>
  </si>
  <si>
    <t>MR.PRINCIPAL SINGH</t>
  </si>
  <si>
    <t>RMBB#2</t>
  </si>
  <si>
    <t>MR.AMIT KHAPARDE</t>
  </si>
  <si>
    <t>9520/3425</t>
  </si>
  <si>
    <t>9521/3426</t>
  </si>
  <si>
    <t xml:space="preserve"> 300T-1</t>
  </si>
  <si>
    <t>14396/4377</t>
  </si>
  <si>
    <t>12/1</t>
  </si>
  <si>
    <t xml:space="preserve"> 300T-2</t>
  </si>
  <si>
    <t>CP</t>
  </si>
  <si>
    <t>MR.SUNIL CHAUBEY</t>
  </si>
  <si>
    <t xml:space="preserve">300T-1 </t>
  </si>
  <si>
    <t>MR.SHASHIKANT</t>
  </si>
  <si>
    <t>9522/3426</t>
  </si>
  <si>
    <t>14402/4377</t>
  </si>
  <si>
    <t>6/1</t>
  </si>
  <si>
    <t>MRS.NIKITA KUMARI</t>
  </si>
  <si>
    <t>9525/3426</t>
  </si>
  <si>
    <t>14413/4378</t>
  </si>
  <si>
    <t>11/1</t>
  </si>
  <si>
    <t>14424/4378</t>
  </si>
  <si>
    <t>18 min</t>
  </si>
  <si>
    <t>9528/3427</t>
  </si>
  <si>
    <t>9530/3430</t>
  </si>
  <si>
    <t>2/3</t>
  </si>
  <si>
    <t>14433/4378</t>
  </si>
  <si>
    <t>9/1</t>
  </si>
  <si>
    <t>LD#2</t>
  </si>
  <si>
    <t>MR.KUNAL SINGH</t>
  </si>
  <si>
    <t>1</t>
  </si>
  <si>
    <t>14440/4379</t>
  </si>
  <si>
    <t>7/1</t>
  </si>
  <si>
    <t>KEEP</t>
  </si>
  <si>
    <t>14452/4379</t>
  </si>
  <si>
    <t>9539/3431</t>
  </si>
  <si>
    <t>MR.BHAWANATH JHA</t>
  </si>
  <si>
    <t>7</t>
  </si>
  <si>
    <t>14457/4379</t>
  </si>
  <si>
    <t>MR.GK BARMAN</t>
  </si>
  <si>
    <t>14460/4379</t>
  </si>
  <si>
    <t>MR.D.MONWAL</t>
  </si>
  <si>
    <t>9547/3431</t>
  </si>
  <si>
    <t>MR.G.E BARMAN</t>
  </si>
  <si>
    <t>MR.NIKITA KUMARI</t>
  </si>
  <si>
    <t>14460/4382</t>
  </si>
  <si>
    <t>14461/4383</t>
  </si>
  <si>
    <t>MR.D.MAWAL</t>
  </si>
  <si>
    <t>9542/3431</t>
  </si>
  <si>
    <t>9546/3431</t>
  </si>
  <si>
    <t>Team diverted from GBF to Ato f</t>
  </si>
  <si>
    <t>MR.MANOHAR MAHATU</t>
  </si>
  <si>
    <t>5</t>
  </si>
  <si>
    <t>14461/4384</t>
  </si>
  <si>
    <t>MR.D MAWAL</t>
  </si>
  <si>
    <t>9547/3433</t>
  </si>
  <si>
    <t>1/2</t>
  </si>
  <si>
    <t>6</t>
  </si>
  <si>
    <t>9549/3433</t>
  </si>
  <si>
    <t>PP</t>
  </si>
  <si>
    <t>MR.ABHINAV KUMAR</t>
  </si>
  <si>
    <t>1464/4385</t>
  </si>
  <si>
    <t>MR.ABHISHEK MAL</t>
  </si>
  <si>
    <t xml:space="preserve"> -</t>
  </si>
  <si>
    <t>9550/3434</t>
  </si>
  <si>
    <t>MR.S.K BOSE</t>
  </si>
  <si>
    <t xml:space="preserve">  -</t>
  </si>
  <si>
    <t>9551/3434</t>
  </si>
  <si>
    <t>1ST:110019485178</t>
  </si>
  <si>
    <t>2ND:110019499085</t>
  </si>
  <si>
    <t>9553/3435</t>
  </si>
  <si>
    <t>MR.NISHKANT KUMAR</t>
  </si>
  <si>
    <t>9554/3436</t>
  </si>
  <si>
    <t>2ND:110019517642</t>
  </si>
  <si>
    <t>9559/3436</t>
  </si>
  <si>
    <t>9563/3437</t>
  </si>
  <si>
    <t>LP</t>
  </si>
  <si>
    <t>MR.R.C DAS</t>
  </si>
  <si>
    <t>MR.SANHEEV BOSE</t>
  </si>
  <si>
    <t>9566/3438</t>
  </si>
  <si>
    <t>ROPE ACCESS PERMIT DETAILS JAN-26</t>
  </si>
  <si>
    <t xml:space="preserve">S. NO. </t>
  </si>
  <si>
    <t>DEPARTMENT</t>
  </si>
  <si>
    <t>CONTACT PERSON</t>
  </si>
  <si>
    <t>SWASTIK</t>
  </si>
  <si>
    <t>160T</t>
  </si>
  <si>
    <t>Amount</t>
  </si>
  <si>
    <t>100T</t>
  </si>
  <si>
    <t>80T</t>
  </si>
  <si>
    <t>55T</t>
  </si>
  <si>
    <t>AMOUNT</t>
  </si>
  <si>
    <t>40T</t>
  </si>
  <si>
    <t>Total Amount</t>
  </si>
  <si>
    <t>300T</t>
  </si>
  <si>
    <t>total</t>
  </si>
  <si>
    <t>A TO F</t>
  </si>
  <si>
    <t>Amit Garg</t>
  </si>
  <si>
    <t>OLD COKEPLANT</t>
  </si>
  <si>
    <t>Nitin</t>
  </si>
  <si>
    <t>Sajal</t>
  </si>
  <si>
    <t>Vivek</t>
  </si>
  <si>
    <t>HBF</t>
  </si>
  <si>
    <t>Nishant</t>
  </si>
  <si>
    <t>Manish kumar</t>
  </si>
  <si>
    <t>SUPAD</t>
  </si>
  <si>
    <t>IBF</t>
  </si>
  <si>
    <t>ANKIT</t>
  </si>
  <si>
    <t>RMBB#1 &amp; 2</t>
  </si>
  <si>
    <t>Vivek Kudwa</t>
  </si>
  <si>
    <t>Ravi Jaishwal</t>
  </si>
  <si>
    <t>Dinesh Mohitkar</t>
  </si>
  <si>
    <t>SANJAY</t>
  </si>
  <si>
    <t>BPH</t>
  </si>
  <si>
    <t>SK MAHANTA</t>
  </si>
  <si>
    <t>CRM</t>
  </si>
  <si>
    <t>PK MOHANTY</t>
  </si>
  <si>
    <t>HSM</t>
  </si>
  <si>
    <t>LD#1</t>
  </si>
  <si>
    <t>LD#3 &amp; TSCR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</si>
</sst>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[$-409]d/mmm/yy;@"/>
    <numFmt numFmtId="182" formatCode="[$-10409]hh:mm\ AM/PM;@"/>
    <numFmt numFmtId="183" formatCode="h:mm\ AM/PM"/>
    <numFmt numFmtId="184" formatCode="[$-14009]hh:mm;@"/>
    <numFmt numFmtId="185" formatCode="_ &quot;₹&quot;\ * #,##0_ ;_ &quot;₹&quot;\ * \-#,##0_ ;_ &quot;₹&quot;\ * &quot;-&quot;_ ;_ @_ "/>
    <numFmt numFmtId="186" formatCode="&quot;₹&quot;\ #,##0.00;&quot;₹&quot;\ \-#,##0.00"/>
  </numFmts>
  <fonts count="2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1"/>
      <color rgb="FFFF0000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23" applyNumberFormat="0" applyAlignment="0" applyProtection="0">
      <alignment vertical="center"/>
    </xf>
    <xf numFmtId="0" fontId="15" fillId="10" borderId="24" applyNumberFormat="0" applyAlignment="0" applyProtection="0">
      <alignment vertical="center"/>
    </xf>
    <xf numFmtId="0" fontId="16" fillId="10" borderId="23" applyNumberFormat="0" applyAlignment="0" applyProtection="0">
      <alignment vertical="center"/>
    </xf>
    <xf numFmtId="0" fontId="17" fillId="11" borderId="25" applyNumberFormat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4" borderId="5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180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2" fillId="5" borderId="6" xfId="0" applyFont="1" applyFill="1" applyBorder="1"/>
    <xf numFmtId="0" fontId="2" fillId="5" borderId="7" xfId="0" applyFont="1" applyFill="1" applyBorder="1"/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5" xfId="1" applyFont="1" applyBorder="1" applyAlignment="1">
      <alignment horizontal="center"/>
    </xf>
    <xf numFmtId="176" fontId="0" fillId="0" borderId="0" xfId="0" applyNumberFormat="1"/>
    <xf numFmtId="176" fontId="4" fillId="5" borderId="12" xfId="1" applyFont="1" applyFill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2" fillId="7" borderId="2" xfId="0" applyFont="1" applyFill="1" applyBorder="1" applyAlignment="1">
      <alignment horizontal="center" vertical="center" wrapText="1"/>
    </xf>
    <xf numFmtId="1" fontId="2" fillId="7" borderId="2" xfId="0" applyNumberFormat="1" applyFont="1" applyFill="1" applyBorder="1" applyAlignment="1">
      <alignment horizontal="center" vertical="center" wrapText="1"/>
    </xf>
    <xf numFmtId="181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183" fontId="0" fillId="0" borderId="0" xfId="0" applyNumberFormat="1"/>
    <xf numFmtId="20" fontId="0" fillId="0" borderId="5" xfId="0" applyNumberFormat="1" applyBorder="1" applyAlignment="1">
      <alignment horizontal="center" vertical="center"/>
    </xf>
    <xf numFmtId="182" fontId="0" fillId="0" borderId="5" xfId="0" applyNumberFormat="1" applyBorder="1" applyAlignment="1">
      <alignment vertical="center"/>
    </xf>
    <xf numFmtId="1" fontId="0" fillId="0" borderId="14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182" fontId="0" fillId="0" borderId="13" xfId="0" applyNumberFormat="1" applyBorder="1" applyAlignment="1">
      <alignment horizontal="center" vertical="center"/>
    </xf>
    <xf numFmtId="182" fontId="0" fillId="0" borderId="16" xfId="0" applyNumberFormat="1" applyBorder="1" applyAlignment="1">
      <alignment horizontal="center" vertical="center"/>
    </xf>
    <xf numFmtId="183" fontId="0" fillId="0" borderId="5" xfId="0" applyNumberFormat="1" applyBorder="1"/>
    <xf numFmtId="1" fontId="0" fillId="0" borderId="13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82" fontId="0" fillId="0" borderId="18" xfId="0" applyNumberFormat="1" applyBorder="1" applyAlignment="1">
      <alignment horizontal="center" vertical="center"/>
    </xf>
    <xf numFmtId="182" fontId="0" fillId="0" borderId="15" xfId="0" applyNumberFormat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84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84" fontId="0" fillId="0" borderId="17" xfId="0" applyNumberFormat="1" applyBorder="1" applyAlignment="1">
      <alignment horizontal="center" vertical="center"/>
    </xf>
    <xf numFmtId="185" fontId="0" fillId="0" borderId="5" xfId="0" applyNumberFormat="1" applyBorder="1" applyAlignment="1">
      <alignment horizontal="center" vertical="center"/>
    </xf>
    <xf numFmtId="182" fontId="0" fillId="0" borderId="13" xfId="0" applyNumberFormat="1" applyBorder="1" applyAlignment="1">
      <alignment vertical="center"/>
    </xf>
    <xf numFmtId="186" fontId="0" fillId="0" borderId="5" xfId="0" applyNumberFormat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/>
    </xf>
    <xf numFmtId="184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ustomXml" Target="../ink/ink9.xml"/><Relationship Id="rId8" Type="http://schemas.openxmlformats.org/officeDocument/2006/relationships/customXml" Target="../ink/ink8.xml"/><Relationship Id="rId7" Type="http://schemas.openxmlformats.org/officeDocument/2006/relationships/customXml" Target="../ink/ink7.xml"/><Relationship Id="rId6" Type="http://schemas.openxmlformats.org/officeDocument/2006/relationships/customXml" Target="../ink/ink6.xml"/><Relationship Id="rId5" Type="http://schemas.openxmlformats.org/officeDocument/2006/relationships/customXml" Target="../ink/ink5.xml"/><Relationship Id="rId4" Type="http://schemas.openxmlformats.org/officeDocument/2006/relationships/customXml" Target="../ink/ink4.xml"/><Relationship Id="rId3" Type="http://schemas.openxmlformats.org/officeDocument/2006/relationships/customXml" Target="../ink/ink3.xml"/><Relationship Id="rId2" Type="http://schemas.openxmlformats.org/officeDocument/2006/relationships/customXml" Target="../ink/ink2.xml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518893</xdr:colOff>
      <xdr:row>2</xdr:row>
      <xdr:rowOff>0</xdr:rowOff>
    </xdr:from>
    <xdr:to>
      <xdr:col>4</xdr:col>
      <xdr:colOff>519253</xdr:colOff>
      <xdr:row>2</xdr:row>
      <xdr:rowOff>0</xdr:rowOff>
    </xdr:to>
    <xdr:contentPart xmlns:xdr14="http://schemas.microsoft.com/office/excel/2010/spreadsheetDrawing" r:id="rId1">
      <xdr14:nvContentPartPr>
        <xdr14:cNvPr id="5" name="Ink 4"/>
        <xdr14:cNvContentPartPr/>
      </xdr14:nvContentPartPr>
      <xdr14:nvPr/>
      <xdr14:xfrm>
        <a:off x="3507740" y="929640"/>
        <a:ext cx="0" cy="0"/>
      </xdr14:xfrm>
    </xdr:contentPart>
    <xdr:clientData/>
  </xdr:twoCellAnchor>
  <xdr:twoCellAnchor editAs="oneCell">
    <xdr:from>
      <xdr:col>5</xdr:col>
      <xdr:colOff>293055</xdr:colOff>
      <xdr:row>2</xdr:row>
      <xdr:rowOff>0</xdr:rowOff>
    </xdr:from>
    <xdr:to>
      <xdr:col>5</xdr:col>
      <xdr:colOff>293415</xdr:colOff>
      <xdr:row>2</xdr:row>
      <xdr:rowOff>0</xdr:rowOff>
    </xdr:to>
    <xdr:contentPart xmlns:xdr14="http://schemas.microsoft.com/office/excel/2010/spreadsheetDrawing" r:id="rId2">
      <xdr14:nvContentPartPr>
        <xdr14:cNvPr id="6" name="Ink 5"/>
        <xdr14:cNvContentPartPr/>
      </xdr14:nvContentPartPr>
      <xdr14:nvPr/>
      <xdr14:xfrm>
        <a:off x="4385945" y="929640"/>
        <a:ext cx="635" cy="0"/>
      </xdr14:xfrm>
    </xdr:contentPart>
    <xdr:clientData/>
  </xdr:twoCellAnchor>
  <xdr:twoCellAnchor editAs="oneCell">
    <xdr:from>
      <xdr:col>4</xdr:col>
      <xdr:colOff>1097053</xdr:colOff>
      <xdr:row>2</xdr:row>
      <xdr:rowOff>0</xdr:rowOff>
    </xdr:from>
    <xdr:to>
      <xdr:col>4</xdr:col>
      <xdr:colOff>1097413</xdr:colOff>
      <xdr:row>2</xdr:row>
      <xdr:rowOff>0</xdr:rowOff>
    </xdr:to>
    <xdr:contentPart xmlns:xdr14="http://schemas.microsoft.com/office/excel/2010/spreadsheetDrawing" r:id="rId3">
      <xdr14:nvContentPartPr>
        <xdr14:cNvPr id="7" name="Ink 6"/>
        <xdr14:cNvContentPartPr/>
      </xdr14:nvContentPartPr>
      <xdr14:nvPr/>
      <xdr14:xfrm>
        <a:off x="4085590" y="929640"/>
        <a:ext cx="635" cy="0"/>
      </xdr14:xfrm>
    </xdr:contentPart>
    <xdr:clientData/>
  </xdr:twoCellAnchor>
  <xdr:oneCellAnchor>
    <xdr:from>
      <xdr:col>1</xdr:col>
      <xdr:colOff>0</xdr:colOff>
      <xdr:row>198</xdr:row>
      <xdr:rowOff>334904</xdr:rowOff>
    </xdr:from>
    <xdr:ext cx="0" cy="373105"/>
    <xdr:contentPart xmlns:xdr14="http://schemas.microsoft.com/office/excel/2010/spreadsheetDrawing" r:id="rId4">
      <xdr14:nvContentPartPr>
        <xdr14:cNvPr id="8" name="Ink 7"/>
        <xdr14:cNvContentPartPr/>
      </xdr14:nvContentPartPr>
      <xdr14:nvPr/>
      <xdr14:xfrm>
        <a:off x="802005" y="6598920"/>
        <a:ext cx="0" cy="372745"/>
      </xdr14:xfrm>
    </xdr:contentPart>
    <xdr:clientData/>
  </xdr:oneCellAnchor>
  <xdr:oneCellAnchor>
    <xdr:from>
      <xdr:col>1</xdr:col>
      <xdr:colOff>0</xdr:colOff>
      <xdr:row>200</xdr:row>
      <xdr:rowOff>16561</xdr:rowOff>
    </xdr:from>
    <xdr:ext cx="0" cy="33482"/>
    <xdr:contentPart xmlns:xdr14="http://schemas.microsoft.com/office/excel/2010/spreadsheetDrawing" r:id="rId5">
      <xdr14:nvContentPartPr>
        <xdr14:cNvPr id="9" name="Ink 8"/>
        <xdr14:cNvContentPartPr/>
      </xdr14:nvContentPartPr>
      <xdr14:nvPr/>
      <xdr14:xfrm>
        <a:off x="802005" y="6598920"/>
        <a:ext cx="0" cy="33020"/>
      </xdr14:xfrm>
    </xdr:contentPart>
    <xdr:clientData/>
  </xdr:oneCellAnchor>
  <xdr:oneCellAnchor>
    <xdr:from>
      <xdr:col>1</xdr:col>
      <xdr:colOff>0</xdr:colOff>
      <xdr:row>198</xdr:row>
      <xdr:rowOff>226184</xdr:rowOff>
    </xdr:from>
    <xdr:ext cx="0" cy="373105"/>
    <xdr:contentPart xmlns:xdr14="http://schemas.microsoft.com/office/excel/2010/spreadsheetDrawing" r:id="rId6">
      <xdr14:nvContentPartPr>
        <xdr14:cNvPr id="10" name="Ink 9"/>
        <xdr14:cNvContentPartPr/>
      </xdr14:nvContentPartPr>
      <xdr14:nvPr/>
      <xdr14:xfrm>
        <a:off x="802005" y="6598920"/>
        <a:ext cx="0" cy="372745"/>
      </xdr14:xfrm>
    </xdr:contentPart>
    <xdr:clientData/>
  </xdr:oneCellAnchor>
  <xdr:oneCellAnchor>
    <xdr:from>
      <xdr:col>4</xdr:col>
      <xdr:colOff>518893</xdr:colOff>
      <xdr:row>198</xdr:row>
      <xdr:rowOff>334904</xdr:rowOff>
    </xdr:from>
    <xdr:ext cx="360" cy="373105"/>
    <xdr:contentPart xmlns:xdr14="http://schemas.microsoft.com/office/excel/2010/spreadsheetDrawing" r:id="rId7">
      <xdr14:nvContentPartPr>
        <xdr14:cNvPr id="14" name="Ink 13"/>
        <xdr14:cNvContentPartPr/>
      </xdr14:nvContentPartPr>
      <xdr14:nvPr/>
      <xdr14:xfrm>
        <a:off x="3507740" y="6598920"/>
        <a:ext cx="0" cy="372745"/>
      </xdr14:xfrm>
    </xdr:contentPart>
    <xdr:clientData/>
  </xdr:oneCellAnchor>
  <xdr:oneCellAnchor>
    <xdr:from>
      <xdr:col>5</xdr:col>
      <xdr:colOff>293055</xdr:colOff>
      <xdr:row>200</xdr:row>
      <xdr:rowOff>16561</xdr:rowOff>
    </xdr:from>
    <xdr:ext cx="360" cy="33482"/>
    <xdr:contentPart xmlns:xdr14="http://schemas.microsoft.com/office/excel/2010/spreadsheetDrawing" r:id="rId8">
      <xdr14:nvContentPartPr>
        <xdr14:cNvPr id="15" name="Ink 14"/>
        <xdr14:cNvContentPartPr/>
      </xdr14:nvContentPartPr>
      <xdr14:nvPr/>
      <xdr14:xfrm>
        <a:off x="4385945" y="6598920"/>
        <a:ext cx="635" cy="33020"/>
      </xdr14:xfrm>
    </xdr:contentPart>
    <xdr:clientData/>
  </xdr:oneCellAnchor>
  <xdr:oneCellAnchor>
    <xdr:from>
      <xdr:col>4</xdr:col>
      <xdr:colOff>1097053</xdr:colOff>
      <xdr:row>198</xdr:row>
      <xdr:rowOff>226184</xdr:rowOff>
    </xdr:from>
    <xdr:ext cx="360" cy="373105"/>
    <xdr:contentPart xmlns:xdr14="http://schemas.microsoft.com/office/excel/2010/spreadsheetDrawing" r:id="rId9">
      <xdr14:nvContentPartPr>
        <xdr14:cNvPr id="16" name="Ink 15"/>
        <xdr14:cNvContentPartPr/>
      </xdr14:nvContentPartPr>
      <xdr14:nvPr/>
      <xdr14:xfrm>
        <a:off x="4085590" y="6598920"/>
        <a:ext cx="635" cy="372745"/>
      </xdr14:xfrm>
    </xdr:contentPar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4T08:34:30"/>
    </inkml:context>
    <inkml:brush xml:id="br0">
      <inkml:brushProperty name="width" value="0.035" units="cm"/>
      <inkml:brushProperty name="height" value="0.035" units="cm"/>
      <inkml:brushProperty name="color" value="#000000"/>
    </inkml:brush>
  </inkml:definitions>
  <inkml:trace contextRef="#ctx0" brushRef="#br0">1466.000 281.000 24575,'0.000'0.000'-8191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4T08:34:30"/>
    </inkml:context>
    <inkml:brush xml:id="br0">
      <inkml:brushProperty name="width" value="0.035" units="cm"/>
      <inkml:brushProperty name="height" value="0.035" units="cm"/>
      <inkml:brushProperty name="color" value="#000000"/>
    </inkml:brush>
  </inkml:definitions>
  <inkml:trace contextRef="#ctx0" brushRef="#br0">0.000 0.000 24575,'0.000'0.000'-8191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4T08:34:30"/>
    </inkml:context>
    <inkml:brush xml:id="br0">
      <inkml:brushProperty name="width" value="0.035" units="cm"/>
      <inkml:brushProperty name="height" value="0.035" units="cm"/>
      <inkml:brushProperty name="color" value="#000000"/>
    </inkml:brush>
  </inkml:definitions>
  <inkml:trace contextRef="#ctx0" brushRef="#br0">0.000 0.000 24575,'0.000'0.000'-8191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03:53"/>
    </inkml:context>
    <inkml:brush xml:id="br0">
      <inkml:brushProperty name="width" value="0.035" units="cm"/>
      <inkml:brushProperty name="height" value="0.035" units="cm"/>
      <inkml:brushProperty name="color" value="#000000"/>
    </inkml:brush>
  </inkml:definitions>
  <inkml:trace contextRef="#ctx0" brushRef="#br0">1466.000 281.000 24575,'0.000'0.000'-8191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03:53"/>
    </inkml:context>
    <inkml:brush xml:id="br0">
      <inkml:brushProperty name="width" value="0.035" units="cm"/>
      <inkml:brushProperty name="height" value="0.035" units="cm"/>
      <inkml:brushProperty name="color" value="#000000"/>
    </inkml:brush>
  </inkml:definitions>
  <inkml:trace contextRef="#ctx0" brushRef="#br0">0.000 0.000 24575,'0.000'0.000'-8191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03:53"/>
    </inkml:context>
    <inkml:brush xml:id="br0">
      <inkml:brushProperty name="width" value="0.035" units="cm"/>
      <inkml:brushProperty name="height" value="0.035" units="cm"/>
      <inkml:brushProperty name="color" value="#000000"/>
    </inkml:brush>
  </inkml:definitions>
  <inkml:trace contextRef="#ctx0" brushRef="#br0">0.000 0.000 24575,'0.000'0.000'-8191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16:59"/>
    </inkml:context>
    <inkml:brush xml:id="br0">
      <inkml:brushProperty name="width" value="0.035" units="cm"/>
      <inkml:brushProperty name="height" value="0.035" units="cm"/>
      <inkml:brushProperty name="color" value="#000000"/>
    </inkml:brush>
  </inkml:definitions>
  <inkml:trace contextRef="#ctx0" brushRef="#br0">1466.000 281.000 24575,'0.000'0.000'-8191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16:59"/>
    </inkml:context>
    <inkml:brush xml:id="br0">
      <inkml:brushProperty name="width" value="0.035" units="cm"/>
      <inkml:brushProperty name="height" value="0.035" units="cm"/>
      <inkml:brushProperty name="color" value="#000000"/>
    </inkml:brush>
  </inkml:definitions>
  <inkml:trace contextRef="#ctx0" brushRef="#br0">0.000 0.000 24575,'0.000'0.000'-8191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09:16:59"/>
    </inkml:context>
    <inkml:brush xml:id="br0">
      <inkml:brushProperty name="width" value="0.035" units="cm"/>
      <inkml:brushProperty name="height" value="0.035" units="cm"/>
      <inkml:brushProperty name="color" value="#000000"/>
    </inkml:brush>
  </inkml:definitions>
  <inkml:trace contextRef="#ctx0" brushRef="#br0">0.000 0.000 24575,'0.000'0.000'-8191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221"/>
  <sheetViews>
    <sheetView workbookViewId="0">
      <selection activeCell="D11" sqref="D11"/>
    </sheetView>
  </sheetViews>
  <sheetFormatPr defaultColWidth="9" defaultRowHeight="14.4"/>
  <cols>
    <col min="1" max="1" width="11.3783783783784" customWidth="1"/>
    <col min="2" max="2" width="8.57657657657658" customWidth="1"/>
    <col min="3" max="3" width="6.78378378378378" customWidth="1"/>
    <col min="4" max="13" width="15.6666666666667" customWidth="1"/>
  </cols>
  <sheetData>
    <row r="1" ht="30" customHeight="1" spans="1:13">
      <c r="A1" s="24" t="s">
        <v>0</v>
      </c>
      <c r="B1" s="24"/>
      <c r="C1" s="24"/>
      <c r="D1" s="24"/>
      <c r="E1" s="24"/>
      <c r="F1" s="24"/>
      <c r="G1" s="24"/>
      <c r="H1" s="25"/>
      <c r="I1" s="24"/>
      <c r="J1" s="24"/>
      <c r="K1" s="24"/>
      <c r="L1" s="24"/>
      <c r="M1" s="46"/>
    </row>
    <row r="2" ht="43.2" spans="1:13">
      <c r="A2" s="26" t="s">
        <v>1</v>
      </c>
      <c r="B2" s="26" t="s">
        <v>2</v>
      </c>
      <c r="C2" s="26" t="s">
        <v>3</v>
      </c>
      <c r="D2" s="26" t="s">
        <v>4</v>
      </c>
      <c r="E2" s="27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47" t="s">
        <v>11</v>
      </c>
      <c r="L2" s="47" t="s">
        <v>12</v>
      </c>
      <c r="M2" s="26" t="s">
        <v>13</v>
      </c>
    </row>
    <row r="3" hidden="1" spans="1:13">
      <c r="A3" s="28">
        <v>46023</v>
      </c>
      <c r="B3" s="29" t="s">
        <v>14</v>
      </c>
      <c r="C3" s="5" t="s">
        <v>15</v>
      </c>
      <c r="D3" s="30" t="s">
        <v>16</v>
      </c>
      <c r="E3" s="30"/>
      <c r="F3" s="5"/>
      <c r="G3" s="31"/>
      <c r="H3" s="31"/>
      <c r="I3" s="48"/>
      <c r="J3" s="5"/>
      <c r="K3" s="5"/>
      <c r="L3" s="49"/>
      <c r="M3" s="5"/>
    </row>
    <row r="4" hidden="1" spans="1:13">
      <c r="A4" s="28"/>
      <c r="B4" s="5" t="s">
        <v>17</v>
      </c>
      <c r="C4" s="5" t="s">
        <v>15</v>
      </c>
      <c r="D4" s="30" t="s">
        <v>16</v>
      </c>
      <c r="E4" s="30"/>
      <c r="F4" s="30"/>
      <c r="G4" s="31"/>
      <c r="H4" s="31"/>
      <c r="I4" s="48"/>
      <c r="J4" s="5"/>
      <c r="K4" s="5"/>
      <c r="L4" s="49"/>
      <c r="M4" s="5"/>
    </row>
    <row r="5" hidden="1" spans="1:13">
      <c r="A5" s="28"/>
      <c r="B5" s="29" t="s">
        <v>18</v>
      </c>
      <c r="C5" s="5" t="s">
        <v>19</v>
      </c>
      <c r="D5" s="30" t="s">
        <v>20</v>
      </c>
      <c r="E5" s="30">
        <v>110019058594</v>
      </c>
      <c r="F5" s="5">
        <v>9262290436</v>
      </c>
      <c r="G5" s="31">
        <v>0.367361111111111</v>
      </c>
      <c r="H5" s="31">
        <v>0.385416666666667</v>
      </c>
      <c r="I5" s="48" t="s">
        <v>21</v>
      </c>
      <c r="J5" s="20" t="s">
        <v>22</v>
      </c>
      <c r="K5" s="5" t="s">
        <v>23</v>
      </c>
      <c r="L5" s="49" t="s">
        <v>24</v>
      </c>
      <c r="M5" s="5"/>
    </row>
    <row r="6" hidden="1" spans="1:13">
      <c r="A6" s="28"/>
      <c r="B6" s="5" t="s">
        <v>14</v>
      </c>
      <c r="C6" s="5" t="s">
        <v>15</v>
      </c>
      <c r="D6" s="30" t="s">
        <v>16</v>
      </c>
      <c r="E6" s="30"/>
      <c r="F6" s="5"/>
      <c r="G6" s="31"/>
      <c r="H6" s="31"/>
      <c r="I6" s="48"/>
      <c r="J6" s="5"/>
      <c r="K6" s="5"/>
      <c r="L6" s="49"/>
      <c r="M6" s="5"/>
    </row>
    <row r="7" hidden="1" spans="1:13">
      <c r="A7" s="28"/>
      <c r="B7" s="29" t="s">
        <v>17</v>
      </c>
      <c r="C7" s="5" t="s">
        <v>15</v>
      </c>
      <c r="D7" s="30" t="s">
        <v>16</v>
      </c>
      <c r="E7" s="30"/>
      <c r="F7" s="30"/>
      <c r="G7" s="31"/>
      <c r="H7" s="32"/>
      <c r="I7" s="48"/>
      <c r="J7" s="5"/>
      <c r="K7" s="5"/>
      <c r="L7" s="49"/>
      <c r="M7" s="5"/>
    </row>
    <row r="8" hidden="1" spans="1:13">
      <c r="A8" s="28"/>
      <c r="B8" s="5" t="s">
        <v>18</v>
      </c>
      <c r="C8" s="5" t="s">
        <v>15</v>
      </c>
      <c r="D8" s="30" t="s">
        <v>16</v>
      </c>
      <c r="E8" s="30"/>
      <c r="F8" s="33"/>
      <c r="G8" s="31"/>
      <c r="H8" s="31"/>
      <c r="I8" s="48"/>
      <c r="J8" s="5"/>
      <c r="K8" s="5"/>
      <c r="L8" s="49"/>
      <c r="M8" s="5"/>
    </row>
    <row r="9" hidden="1" spans="1:13">
      <c r="A9" s="28"/>
      <c r="B9" s="5"/>
      <c r="C9" s="5"/>
      <c r="D9" s="30"/>
      <c r="E9" s="30"/>
      <c r="F9" s="30"/>
      <c r="G9" s="31"/>
      <c r="H9" s="31"/>
      <c r="I9" s="48"/>
      <c r="J9" s="5"/>
      <c r="K9" s="5"/>
      <c r="L9" s="49"/>
      <c r="M9" s="5"/>
    </row>
    <row r="10" hidden="1" spans="1:13">
      <c r="A10" s="28">
        <v>46024</v>
      </c>
      <c r="B10" s="29" t="s">
        <v>14</v>
      </c>
      <c r="C10" s="5" t="s">
        <v>25</v>
      </c>
      <c r="D10" s="30" t="s">
        <v>26</v>
      </c>
      <c r="E10" s="30">
        <v>110019077100</v>
      </c>
      <c r="F10" s="30">
        <v>9204058041</v>
      </c>
      <c r="G10" s="31">
        <v>0.364583333333333</v>
      </c>
      <c r="H10" s="31">
        <v>0.385416666666667</v>
      </c>
      <c r="I10" s="48" t="s">
        <v>27</v>
      </c>
      <c r="J10" s="5">
        <v>1487</v>
      </c>
      <c r="K10" s="5">
        <v>1492</v>
      </c>
      <c r="L10" s="49">
        <v>5</v>
      </c>
      <c r="M10" s="5"/>
    </row>
    <row r="11" spans="1:13">
      <c r="A11" s="28"/>
      <c r="B11" s="5" t="s">
        <v>17</v>
      </c>
      <c r="C11" s="5" t="s">
        <v>28</v>
      </c>
      <c r="D11" s="30" t="s">
        <v>29</v>
      </c>
      <c r="E11" s="30">
        <v>110019077617</v>
      </c>
      <c r="F11" s="30">
        <v>9065531061</v>
      </c>
      <c r="G11" s="31">
        <v>0.364583333333333</v>
      </c>
      <c r="H11" s="34">
        <v>0.385416666666667</v>
      </c>
      <c r="I11" s="48" t="s">
        <v>27</v>
      </c>
      <c r="J11" s="5"/>
      <c r="K11" s="5"/>
      <c r="L11" s="49"/>
      <c r="M11" s="5"/>
    </row>
    <row r="12" hidden="1" spans="1:13">
      <c r="A12" s="28"/>
      <c r="B12" s="5" t="s">
        <v>18</v>
      </c>
      <c r="C12" s="5" t="s">
        <v>30</v>
      </c>
      <c r="D12" s="30" t="s">
        <v>31</v>
      </c>
      <c r="E12" s="30">
        <v>110019074359</v>
      </c>
      <c r="F12" s="5">
        <v>7368806395</v>
      </c>
      <c r="G12" s="31">
        <v>0.363888888888889</v>
      </c>
      <c r="H12" s="31">
        <v>0.385416666666667</v>
      </c>
      <c r="I12" s="48" t="s">
        <v>32</v>
      </c>
      <c r="J12" s="50" t="s">
        <v>23</v>
      </c>
      <c r="K12" s="20" t="s">
        <v>33</v>
      </c>
      <c r="L12" s="49" t="s">
        <v>34</v>
      </c>
      <c r="M12" s="5"/>
    </row>
    <row r="13" hidden="1" spans="1:13">
      <c r="A13" s="28"/>
      <c r="B13" s="5" t="s">
        <v>35</v>
      </c>
      <c r="C13" s="5" t="s">
        <v>25</v>
      </c>
      <c r="D13" s="30" t="s">
        <v>26</v>
      </c>
      <c r="E13" s="30">
        <v>110019077100</v>
      </c>
      <c r="F13" s="30">
        <v>9204058041</v>
      </c>
      <c r="G13" s="31">
        <v>0.864583333333333</v>
      </c>
      <c r="H13" s="31">
        <v>0.8875</v>
      </c>
      <c r="I13" s="48" t="s">
        <v>36</v>
      </c>
      <c r="J13" s="5">
        <v>1492</v>
      </c>
      <c r="K13" s="5">
        <v>1496</v>
      </c>
      <c r="L13" s="49">
        <v>4</v>
      </c>
      <c r="M13" s="5"/>
    </row>
    <row r="14" spans="1:13">
      <c r="A14" s="28"/>
      <c r="B14" s="29" t="s">
        <v>17</v>
      </c>
      <c r="C14" s="5" t="s">
        <v>28</v>
      </c>
      <c r="D14" s="30" t="s">
        <v>29</v>
      </c>
      <c r="E14" s="30">
        <v>110019081423</v>
      </c>
      <c r="F14" s="30">
        <v>9065531061</v>
      </c>
      <c r="G14" s="31">
        <v>0.866666666666667</v>
      </c>
      <c r="H14" s="34">
        <v>0.885416666666667</v>
      </c>
      <c r="I14" s="48" t="s">
        <v>37</v>
      </c>
      <c r="J14" s="7" t="s">
        <v>38</v>
      </c>
      <c r="K14" s="7" t="s">
        <v>39</v>
      </c>
      <c r="L14" s="49" t="s">
        <v>40</v>
      </c>
      <c r="M14" s="5"/>
    </row>
    <row r="15" hidden="1" spans="1:13">
      <c r="A15" s="28"/>
      <c r="B15" s="5" t="s">
        <v>18</v>
      </c>
      <c r="C15" s="5" t="s">
        <v>30</v>
      </c>
      <c r="D15" s="30" t="s">
        <v>31</v>
      </c>
      <c r="E15" s="30">
        <v>11019073980</v>
      </c>
      <c r="F15" s="5">
        <v>7368806395</v>
      </c>
      <c r="G15" s="31">
        <v>0.861805555555556</v>
      </c>
      <c r="H15" s="32">
        <v>0.881944444444444</v>
      </c>
      <c r="I15" s="48" t="s">
        <v>41</v>
      </c>
      <c r="J15" s="5" t="s">
        <v>33</v>
      </c>
      <c r="K15" s="5" t="s">
        <v>42</v>
      </c>
      <c r="L15" s="49" t="s">
        <v>43</v>
      </c>
      <c r="M15" s="5"/>
    </row>
    <row r="16" hidden="1" spans="1:13">
      <c r="A16" s="28"/>
      <c r="B16" s="5"/>
      <c r="C16" s="5"/>
      <c r="D16" s="30"/>
      <c r="E16" s="30"/>
      <c r="F16" s="30"/>
      <c r="G16" s="31"/>
      <c r="H16" s="31"/>
      <c r="I16" s="48"/>
      <c r="J16" s="5"/>
      <c r="K16" s="5"/>
      <c r="L16" s="49"/>
      <c r="M16" s="5"/>
    </row>
    <row r="17" hidden="1" spans="1:13">
      <c r="A17" s="28">
        <v>46025</v>
      </c>
      <c r="B17" s="29" t="s">
        <v>14</v>
      </c>
      <c r="C17" s="5" t="s">
        <v>25</v>
      </c>
      <c r="D17" s="30" t="s">
        <v>26</v>
      </c>
      <c r="E17" s="30">
        <v>110019094107</v>
      </c>
      <c r="F17" s="30">
        <v>9204058041</v>
      </c>
      <c r="G17" s="31">
        <v>0.371527777777778</v>
      </c>
      <c r="H17" s="31">
        <v>0.3875</v>
      </c>
      <c r="I17" s="48" t="s">
        <v>44</v>
      </c>
      <c r="J17" s="5">
        <v>1496</v>
      </c>
      <c r="K17" s="5">
        <v>1498</v>
      </c>
      <c r="L17" s="49" t="s">
        <v>45</v>
      </c>
      <c r="M17" s="5"/>
    </row>
    <row r="18" spans="1:13">
      <c r="A18" s="28"/>
      <c r="B18" s="5" t="s">
        <v>17</v>
      </c>
      <c r="C18" s="5" t="s">
        <v>28</v>
      </c>
      <c r="D18" s="30" t="s">
        <v>29</v>
      </c>
      <c r="E18" s="35">
        <v>110019095718</v>
      </c>
      <c r="F18" s="30">
        <v>9065531061</v>
      </c>
      <c r="G18" s="31">
        <v>0.371527777777778</v>
      </c>
      <c r="H18" s="34">
        <v>0.3875</v>
      </c>
      <c r="I18" s="48" t="s">
        <v>44</v>
      </c>
      <c r="J18" s="7" t="s">
        <v>39</v>
      </c>
      <c r="K18" s="7" t="s">
        <v>46</v>
      </c>
      <c r="L18" s="49" t="s">
        <v>47</v>
      </c>
      <c r="M18" s="5"/>
    </row>
    <row r="19" hidden="1" spans="1:13">
      <c r="A19" s="28"/>
      <c r="B19" s="5" t="s">
        <v>18</v>
      </c>
      <c r="C19" s="5" t="s">
        <v>48</v>
      </c>
      <c r="D19" s="30" t="s">
        <v>49</v>
      </c>
      <c r="E19" s="36">
        <v>110019093962</v>
      </c>
      <c r="F19" s="5">
        <v>9199368006</v>
      </c>
      <c r="G19" s="31">
        <v>0.365277777777778</v>
      </c>
      <c r="H19" s="31">
        <v>0.388194444444444</v>
      </c>
      <c r="I19" s="48" t="s">
        <v>36</v>
      </c>
      <c r="J19" s="5" t="s">
        <v>42</v>
      </c>
      <c r="K19" s="20" t="s">
        <v>50</v>
      </c>
      <c r="L19" s="49" t="s">
        <v>47</v>
      </c>
      <c r="M19" s="5"/>
    </row>
    <row r="20" hidden="1" spans="1:13">
      <c r="A20" s="28"/>
      <c r="B20" s="5" t="s">
        <v>35</v>
      </c>
      <c r="C20" s="5" t="s">
        <v>25</v>
      </c>
      <c r="D20" s="30" t="s">
        <v>51</v>
      </c>
      <c r="E20" s="30">
        <v>110019102259</v>
      </c>
      <c r="F20" s="5">
        <v>9264470847</v>
      </c>
      <c r="G20" s="31">
        <v>0.865277777777778</v>
      </c>
      <c r="H20" s="31">
        <v>0.885416666666667</v>
      </c>
      <c r="I20" s="48" t="s">
        <v>41</v>
      </c>
      <c r="J20" s="20">
        <v>1498</v>
      </c>
      <c r="K20" s="20">
        <v>1501</v>
      </c>
      <c r="L20" s="49" t="s">
        <v>52</v>
      </c>
      <c r="M20" s="5"/>
    </row>
    <row r="21" hidden="1" spans="1:13">
      <c r="A21" s="28"/>
      <c r="B21" s="5" t="s">
        <v>17</v>
      </c>
      <c r="C21" s="5" t="s">
        <v>53</v>
      </c>
      <c r="D21" s="30" t="s">
        <v>54</v>
      </c>
      <c r="E21" s="30">
        <v>110019095718</v>
      </c>
      <c r="F21" s="30">
        <v>8051750095</v>
      </c>
      <c r="G21" s="31">
        <v>0.864583333333333</v>
      </c>
      <c r="H21" s="31">
        <v>0.885416666666667</v>
      </c>
      <c r="I21" s="48" t="s">
        <v>27</v>
      </c>
      <c r="J21" s="7" t="s">
        <v>46</v>
      </c>
      <c r="K21" s="7" t="s">
        <v>55</v>
      </c>
      <c r="L21" s="49" t="s">
        <v>40</v>
      </c>
      <c r="M21" s="5"/>
    </row>
    <row r="22" hidden="1" spans="1:13">
      <c r="A22" s="28"/>
      <c r="B22" s="5" t="s">
        <v>18</v>
      </c>
      <c r="C22" s="5" t="s">
        <v>15</v>
      </c>
      <c r="D22" s="30" t="s">
        <v>16</v>
      </c>
      <c r="E22" s="30"/>
      <c r="F22" s="33"/>
      <c r="G22" s="31"/>
      <c r="H22" s="31"/>
      <c r="I22" s="48"/>
      <c r="J22" s="5"/>
      <c r="K22" s="5"/>
      <c r="L22" s="49"/>
      <c r="M22" s="5"/>
    </row>
    <row r="23" hidden="1" spans="1:13">
      <c r="A23" s="28"/>
      <c r="B23" s="5"/>
      <c r="C23" s="5"/>
      <c r="D23" s="30"/>
      <c r="E23" s="30"/>
      <c r="F23" s="30"/>
      <c r="G23" s="31"/>
      <c r="H23" s="31"/>
      <c r="I23" s="48"/>
      <c r="J23" s="5"/>
      <c r="K23" s="5"/>
      <c r="L23" s="49"/>
      <c r="M23" s="5"/>
    </row>
    <row r="24" hidden="1" spans="1:13">
      <c r="A24" s="28">
        <v>46026</v>
      </c>
      <c r="B24" s="29" t="s">
        <v>14</v>
      </c>
      <c r="C24" s="5" t="s">
        <v>30</v>
      </c>
      <c r="D24" s="30" t="s">
        <v>31</v>
      </c>
      <c r="E24" s="30">
        <v>110019106616</v>
      </c>
      <c r="F24" s="5">
        <v>7368806395</v>
      </c>
      <c r="G24" s="31">
        <v>0.365972222222222</v>
      </c>
      <c r="H24" s="31">
        <v>0.386111111111111</v>
      </c>
      <c r="I24" s="48" t="s">
        <v>41</v>
      </c>
      <c r="J24" s="5">
        <v>1501</v>
      </c>
      <c r="K24" s="5">
        <v>1504</v>
      </c>
      <c r="L24" s="49" t="s">
        <v>52</v>
      </c>
      <c r="M24" s="5"/>
    </row>
    <row r="25" spans="1:13">
      <c r="A25" s="28"/>
      <c r="B25" s="5" t="s">
        <v>17</v>
      </c>
      <c r="C25" s="5" t="s">
        <v>28</v>
      </c>
      <c r="D25" s="30" t="s">
        <v>56</v>
      </c>
      <c r="E25" s="30">
        <v>110019109128</v>
      </c>
      <c r="F25" s="30">
        <v>8051750095</v>
      </c>
      <c r="G25" s="31">
        <v>0.371527777777778</v>
      </c>
      <c r="H25" s="34">
        <v>0.388194444444444</v>
      </c>
      <c r="I25" s="48" t="s">
        <v>57</v>
      </c>
      <c r="J25" s="7" t="s">
        <v>55</v>
      </c>
      <c r="K25" s="7" t="s">
        <v>58</v>
      </c>
      <c r="L25" s="49" t="s">
        <v>24</v>
      </c>
      <c r="M25" s="5"/>
    </row>
    <row r="26" hidden="1" spans="1:13">
      <c r="A26" s="28"/>
      <c r="B26" s="5" t="s">
        <v>18</v>
      </c>
      <c r="C26" s="5" t="s">
        <v>15</v>
      </c>
      <c r="D26" s="30" t="s">
        <v>16</v>
      </c>
      <c r="E26" s="30"/>
      <c r="F26" s="5"/>
      <c r="G26" s="31"/>
      <c r="H26" s="31"/>
      <c r="I26" s="48"/>
      <c r="J26" s="20"/>
      <c r="K26" s="20"/>
      <c r="L26" s="49"/>
      <c r="M26" s="5"/>
    </row>
    <row r="27" hidden="1" spans="1:13">
      <c r="A27" s="28"/>
      <c r="B27" s="5" t="s">
        <v>35</v>
      </c>
      <c r="C27" s="5" t="s">
        <v>30</v>
      </c>
      <c r="D27" s="30" t="s">
        <v>31</v>
      </c>
      <c r="E27" s="30">
        <v>110019106616</v>
      </c>
      <c r="F27" s="5">
        <v>7368806395</v>
      </c>
      <c r="G27" s="31">
        <v>0.870833333333333</v>
      </c>
      <c r="H27" s="32">
        <v>0.893055555555556</v>
      </c>
      <c r="I27" s="48" t="s">
        <v>59</v>
      </c>
      <c r="J27" s="5">
        <v>1504</v>
      </c>
      <c r="K27" s="5">
        <v>1506</v>
      </c>
      <c r="L27" s="49" t="s">
        <v>45</v>
      </c>
      <c r="M27" s="5"/>
    </row>
    <row r="28" spans="1:13">
      <c r="A28" s="28"/>
      <c r="B28" s="5" t="s">
        <v>17</v>
      </c>
      <c r="C28" s="5" t="s">
        <v>28</v>
      </c>
      <c r="D28" s="30" t="s">
        <v>56</v>
      </c>
      <c r="E28" s="30">
        <v>110019109128</v>
      </c>
      <c r="F28" s="30">
        <v>8051750095</v>
      </c>
      <c r="G28" s="31">
        <v>0.864583333333333</v>
      </c>
      <c r="H28" s="37">
        <v>0.8875</v>
      </c>
      <c r="I28" s="48" t="s">
        <v>36</v>
      </c>
      <c r="J28" s="7" t="s">
        <v>58</v>
      </c>
      <c r="K28" s="7" t="s">
        <v>60</v>
      </c>
      <c r="L28" s="49" t="s">
        <v>24</v>
      </c>
      <c r="M28" s="5"/>
    </row>
    <row r="29" hidden="1" spans="1:13">
      <c r="A29" s="28"/>
      <c r="B29" s="5" t="s">
        <v>18</v>
      </c>
      <c r="C29" s="5" t="s">
        <v>15</v>
      </c>
      <c r="D29" s="30" t="s">
        <v>16</v>
      </c>
      <c r="E29" s="30"/>
      <c r="F29" s="33"/>
      <c r="G29" s="31"/>
      <c r="H29" s="31"/>
      <c r="I29" s="48"/>
      <c r="J29" s="5"/>
      <c r="K29" s="5"/>
      <c r="L29" s="49"/>
      <c r="M29" s="5"/>
    </row>
    <row r="30" hidden="1" spans="1:13">
      <c r="A30" s="28"/>
      <c r="B30" s="5"/>
      <c r="C30" s="5"/>
      <c r="D30" s="30"/>
      <c r="E30" s="30"/>
      <c r="F30" s="30"/>
      <c r="G30" s="31"/>
      <c r="H30" s="31"/>
      <c r="I30" s="48"/>
      <c r="J30" s="5"/>
      <c r="K30" s="5"/>
      <c r="L30" s="49"/>
      <c r="M30" s="5"/>
    </row>
    <row r="31" hidden="1" spans="1:13">
      <c r="A31" s="28">
        <v>46027</v>
      </c>
      <c r="B31" s="29" t="s">
        <v>14</v>
      </c>
      <c r="C31" s="5" t="s">
        <v>30</v>
      </c>
      <c r="D31" s="30" t="s">
        <v>31</v>
      </c>
      <c r="E31" s="30">
        <v>110019121403</v>
      </c>
      <c r="F31" s="5">
        <v>7368806395</v>
      </c>
      <c r="G31" s="31">
        <v>0.366666666666667</v>
      </c>
      <c r="H31" s="31">
        <v>0.386805555555556</v>
      </c>
      <c r="I31" s="48" t="s">
        <v>41</v>
      </c>
      <c r="J31" s="5">
        <v>1506</v>
      </c>
      <c r="K31" s="5">
        <v>1509</v>
      </c>
      <c r="L31" s="49" t="s">
        <v>52</v>
      </c>
      <c r="M31" s="5"/>
    </row>
    <row r="32" spans="1:13">
      <c r="A32" s="28"/>
      <c r="B32" s="5" t="s">
        <v>17</v>
      </c>
      <c r="C32" s="5" t="s">
        <v>28</v>
      </c>
      <c r="D32" s="30" t="s">
        <v>56</v>
      </c>
      <c r="E32" s="30">
        <v>110019121123</v>
      </c>
      <c r="F32" s="30">
        <v>8051750095</v>
      </c>
      <c r="G32" s="31">
        <v>0.372916666666667</v>
      </c>
      <c r="H32" s="34">
        <v>0.391666666666667</v>
      </c>
      <c r="I32" s="48" t="s">
        <v>37</v>
      </c>
      <c r="J32" s="7" t="s">
        <v>60</v>
      </c>
      <c r="K32" s="7" t="s">
        <v>61</v>
      </c>
      <c r="L32" s="49" t="s">
        <v>40</v>
      </c>
      <c r="M32" s="5"/>
    </row>
    <row r="33" hidden="1" spans="1:13">
      <c r="A33" s="28"/>
      <c r="B33" s="5" t="s">
        <v>18</v>
      </c>
      <c r="C33" s="5" t="s">
        <v>48</v>
      </c>
      <c r="D33" s="30" t="s">
        <v>62</v>
      </c>
      <c r="E33" s="30">
        <v>110019138619</v>
      </c>
      <c r="F33" s="5">
        <v>8709478486</v>
      </c>
      <c r="G33" s="31">
        <v>0.364583333333333</v>
      </c>
      <c r="H33" s="31">
        <v>0.385416666666667</v>
      </c>
      <c r="I33" s="48" t="s">
        <v>27</v>
      </c>
      <c r="J33" s="20" t="s">
        <v>50</v>
      </c>
      <c r="K33" s="20" t="s">
        <v>63</v>
      </c>
      <c r="L33" s="49" t="s">
        <v>64</v>
      </c>
      <c r="M33" s="5"/>
    </row>
    <row r="34" hidden="1" spans="1:13">
      <c r="A34" s="28"/>
      <c r="B34" s="5" t="s">
        <v>35</v>
      </c>
      <c r="C34" s="5" t="s">
        <v>30</v>
      </c>
      <c r="D34" s="30" t="s">
        <v>31</v>
      </c>
      <c r="E34" s="30">
        <v>110019121403</v>
      </c>
      <c r="F34" s="5">
        <v>7368806395</v>
      </c>
      <c r="G34" s="31">
        <v>0.866666666666667</v>
      </c>
      <c r="H34" s="32">
        <v>0.885416666666667</v>
      </c>
      <c r="I34" s="48" t="s">
        <v>37</v>
      </c>
      <c r="J34" s="5">
        <v>1509</v>
      </c>
      <c r="K34" s="5">
        <v>1511</v>
      </c>
      <c r="L34" s="49" t="s">
        <v>45</v>
      </c>
      <c r="M34" s="5"/>
    </row>
    <row r="35" spans="1:13">
      <c r="A35" s="28"/>
      <c r="B35" s="5" t="s">
        <v>17</v>
      </c>
      <c r="C35" s="5" t="s">
        <v>28</v>
      </c>
      <c r="D35" s="30" t="s">
        <v>56</v>
      </c>
      <c r="E35" s="30">
        <v>110019121123</v>
      </c>
      <c r="F35" s="30">
        <v>8051750095</v>
      </c>
      <c r="G35" s="31">
        <v>0.865277777777778</v>
      </c>
      <c r="H35" s="37">
        <v>0.885416666666667</v>
      </c>
      <c r="I35" s="48" t="s">
        <v>41</v>
      </c>
      <c r="J35" s="7" t="s">
        <v>61</v>
      </c>
      <c r="K35" s="7" t="s">
        <v>65</v>
      </c>
      <c r="L35" s="49" t="s">
        <v>24</v>
      </c>
      <c r="M35" s="5"/>
    </row>
    <row r="36" hidden="1" spans="1:13">
      <c r="A36" s="28"/>
      <c r="B36" s="5" t="s">
        <v>18</v>
      </c>
      <c r="C36" s="5" t="s">
        <v>48</v>
      </c>
      <c r="D36" s="30" t="s">
        <v>62</v>
      </c>
      <c r="E36" s="30">
        <v>110019138619</v>
      </c>
      <c r="F36" s="5">
        <v>8709478486</v>
      </c>
      <c r="G36" s="31">
        <v>0.860416666666667</v>
      </c>
      <c r="H36" s="32">
        <v>0.88125</v>
      </c>
      <c r="I36" s="48" t="s">
        <v>66</v>
      </c>
      <c r="J36" s="20" t="s">
        <v>63</v>
      </c>
      <c r="K36" s="20" t="s">
        <v>67</v>
      </c>
      <c r="L36" s="49" t="s">
        <v>64</v>
      </c>
      <c r="M36" s="5"/>
    </row>
    <row r="37" hidden="1" spans="1:13">
      <c r="A37" s="28"/>
      <c r="B37" s="5"/>
      <c r="C37" s="5"/>
      <c r="D37" s="30"/>
      <c r="E37" s="30"/>
      <c r="F37" s="30"/>
      <c r="G37" s="31"/>
      <c r="H37" s="31"/>
      <c r="I37" s="48"/>
      <c r="J37" s="5"/>
      <c r="K37" s="5"/>
      <c r="L37" s="49"/>
      <c r="M37" s="5"/>
    </row>
    <row r="38" hidden="1" spans="1:13">
      <c r="A38" s="28">
        <v>45997</v>
      </c>
      <c r="B38" s="29" t="s">
        <v>14</v>
      </c>
      <c r="C38" s="5" t="s">
        <v>30</v>
      </c>
      <c r="D38" s="30" t="s">
        <v>31</v>
      </c>
      <c r="E38" s="30">
        <v>110019138619</v>
      </c>
      <c r="F38" s="5">
        <v>7368806395</v>
      </c>
      <c r="G38" s="31">
        <v>0.367361111111111</v>
      </c>
      <c r="H38" s="31">
        <v>0.385416666666667</v>
      </c>
      <c r="I38" s="48" t="s">
        <v>21</v>
      </c>
      <c r="J38" s="5">
        <v>1511</v>
      </c>
      <c r="K38" s="5">
        <v>1513</v>
      </c>
      <c r="L38" s="49" t="s">
        <v>45</v>
      </c>
      <c r="M38" s="5"/>
    </row>
    <row r="39" spans="1:13">
      <c r="A39" s="28"/>
      <c r="B39" s="5" t="s">
        <v>17</v>
      </c>
      <c r="C39" s="5" t="s">
        <v>28</v>
      </c>
      <c r="D39" s="30" t="s">
        <v>29</v>
      </c>
      <c r="E39" s="30">
        <v>110019148686</v>
      </c>
      <c r="F39" s="30">
        <v>9065531061</v>
      </c>
      <c r="G39" s="31">
        <v>0.365972222222222</v>
      </c>
      <c r="H39" s="34">
        <v>0.385416666666667</v>
      </c>
      <c r="I39" s="48" t="s">
        <v>68</v>
      </c>
      <c r="J39" s="7" t="s">
        <v>65</v>
      </c>
      <c r="K39" s="7" t="s">
        <v>69</v>
      </c>
      <c r="L39" s="49" t="s">
        <v>40</v>
      </c>
      <c r="M39" s="5"/>
    </row>
    <row r="40" hidden="1" spans="1:13">
      <c r="A40" s="28"/>
      <c r="B40" s="5" t="s">
        <v>18</v>
      </c>
      <c r="C40" s="5" t="s">
        <v>48</v>
      </c>
      <c r="D40" s="30" t="s">
        <v>62</v>
      </c>
      <c r="E40" s="30">
        <v>110019134885</v>
      </c>
      <c r="F40" s="5">
        <v>8709478486</v>
      </c>
      <c r="G40" s="31">
        <v>0.364583333333333</v>
      </c>
      <c r="H40" s="31">
        <v>0.395833333333333</v>
      </c>
      <c r="I40" s="48" t="s">
        <v>70</v>
      </c>
      <c r="J40" s="20" t="s">
        <v>67</v>
      </c>
      <c r="K40" s="20" t="s">
        <v>71</v>
      </c>
      <c r="L40" s="49" t="s">
        <v>40</v>
      </c>
      <c r="M40" s="5"/>
    </row>
    <row r="41" hidden="1" spans="1:13">
      <c r="A41" s="28"/>
      <c r="B41" s="5" t="s">
        <v>35</v>
      </c>
      <c r="C41" s="5" t="s">
        <v>15</v>
      </c>
      <c r="D41" s="30" t="s">
        <v>16</v>
      </c>
      <c r="E41" s="30"/>
      <c r="F41" s="5"/>
      <c r="G41" s="31"/>
      <c r="H41" s="31"/>
      <c r="I41" s="48"/>
      <c r="J41" s="7"/>
      <c r="K41" s="7"/>
      <c r="L41" s="49"/>
      <c r="M41" s="5"/>
    </row>
    <row r="42" spans="1:13">
      <c r="A42" s="28"/>
      <c r="B42" s="5" t="s">
        <v>17</v>
      </c>
      <c r="C42" s="5" t="s">
        <v>28</v>
      </c>
      <c r="D42" s="30" t="s">
        <v>29</v>
      </c>
      <c r="E42" s="30">
        <v>110019148686</v>
      </c>
      <c r="F42" s="30">
        <v>9065531061</v>
      </c>
      <c r="G42" s="31">
        <v>0.871527777777778</v>
      </c>
      <c r="H42" s="32">
        <v>0.897222222222222</v>
      </c>
      <c r="I42" s="48" t="s">
        <v>72</v>
      </c>
      <c r="J42" s="7" t="s">
        <v>69</v>
      </c>
      <c r="K42" s="7" t="s">
        <v>73</v>
      </c>
      <c r="L42" s="49" t="s">
        <v>24</v>
      </c>
      <c r="M42" s="5"/>
    </row>
    <row r="43" hidden="1" spans="1:13">
      <c r="A43" s="28"/>
      <c r="B43" s="5" t="s">
        <v>18</v>
      </c>
      <c r="C43" s="5" t="s">
        <v>48</v>
      </c>
      <c r="D43" s="30" t="s">
        <v>62</v>
      </c>
      <c r="E43" s="30">
        <v>110019134885</v>
      </c>
      <c r="F43" s="5">
        <v>8709478486</v>
      </c>
      <c r="G43" s="31">
        <v>0.864583333333333</v>
      </c>
      <c r="H43" s="32">
        <v>0.885416666666667</v>
      </c>
      <c r="I43" s="48" t="s">
        <v>66</v>
      </c>
      <c r="J43" s="20" t="s">
        <v>71</v>
      </c>
      <c r="K43" s="20" t="s">
        <v>74</v>
      </c>
      <c r="L43" s="49" t="s">
        <v>24</v>
      </c>
      <c r="M43" s="5"/>
    </row>
    <row r="44" hidden="1" spans="1:13">
      <c r="A44" s="28"/>
      <c r="B44" s="5"/>
      <c r="C44" s="5"/>
      <c r="D44" s="30"/>
      <c r="E44" s="30"/>
      <c r="F44" s="30"/>
      <c r="G44" s="31"/>
      <c r="H44" s="31"/>
      <c r="I44" s="48"/>
      <c r="J44" s="7"/>
      <c r="K44" s="7"/>
      <c r="L44" s="49"/>
      <c r="M44" s="5"/>
    </row>
    <row r="45" hidden="1" spans="1:13">
      <c r="A45" s="28">
        <v>46029</v>
      </c>
      <c r="B45" s="29" t="s">
        <v>14</v>
      </c>
      <c r="C45" s="5" t="s">
        <v>15</v>
      </c>
      <c r="D45" s="30" t="s">
        <v>16</v>
      </c>
      <c r="E45" s="30"/>
      <c r="F45" s="5"/>
      <c r="G45" s="31"/>
      <c r="H45" s="31"/>
      <c r="I45" s="48"/>
      <c r="J45" s="7"/>
      <c r="K45" s="7"/>
      <c r="L45" s="49"/>
      <c r="M45" s="5"/>
    </row>
    <row r="46" spans="1:13">
      <c r="A46" s="28"/>
      <c r="B46" s="5" t="s">
        <v>17</v>
      </c>
      <c r="C46" s="5" t="s">
        <v>28</v>
      </c>
      <c r="D46" s="30" t="s">
        <v>29</v>
      </c>
      <c r="E46" s="30">
        <v>110019159027</v>
      </c>
      <c r="F46" s="30">
        <v>9065531061</v>
      </c>
      <c r="G46" s="31">
        <v>0.364583333333333</v>
      </c>
      <c r="H46" s="34">
        <v>0.385416666666667</v>
      </c>
      <c r="I46" s="48" t="s">
        <v>27</v>
      </c>
      <c r="J46" s="7" t="s">
        <v>73</v>
      </c>
      <c r="K46" s="7" t="s">
        <v>75</v>
      </c>
      <c r="L46" s="49" t="s">
        <v>24</v>
      </c>
      <c r="M46" s="5"/>
    </row>
    <row r="47" hidden="1" spans="1:13">
      <c r="A47" s="28"/>
      <c r="B47" s="5" t="s">
        <v>18</v>
      </c>
      <c r="C47" s="5" t="s">
        <v>48</v>
      </c>
      <c r="D47" s="30" t="s">
        <v>62</v>
      </c>
      <c r="E47" s="30">
        <v>110019157339</v>
      </c>
      <c r="F47" s="5">
        <v>8709478486</v>
      </c>
      <c r="G47" s="31">
        <v>0.367361111111111</v>
      </c>
      <c r="H47" s="31">
        <v>0.385416666666667</v>
      </c>
      <c r="I47" s="48" t="s">
        <v>21</v>
      </c>
      <c r="J47" s="20" t="s">
        <v>74</v>
      </c>
      <c r="K47" s="20" t="s">
        <v>76</v>
      </c>
      <c r="L47" s="49" t="s">
        <v>24</v>
      </c>
      <c r="M47" s="5"/>
    </row>
    <row r="48" hidden="1" spans="1:13">
      <c r="A48" s="28"/>
      <c r="B48" s="5" t="s">
        <v>35</v>
      </c>
      <c r="C48" s="5" t="s">
        <v>15</v>
      </c>
      <c r="D48" s="30" t="s">
        <v>16</v>
      </c>
      <c r="E48" s="30"/>
      <c r="F48" s="5"/>
      <c r="G48" s="31"/>
      <c r="H48" s="31"/>
      <c r="I48" s="48"/>
      <c r="J48" s="7"/>
      <c r="K48" s="7"/>
      <c r="L48" s="49"/>
      <c r="M48" s="5"/>
    </row>
    <row r="49" spans="1:13">
      <c r="A49" s="28"/>
      <c r="B49" s="5" t="s">
        <v>17</v>
      </c>
      <c r="C49" s="5" t="s">
        <v>28</v>
      </c>
      <c r="D49" s="30" t="s">
        <v>29</v>
      </c>
      <c r="E49" s="30">
        <v>110019169000</v>
      </c>
      <c r="F49" s="30">
        <v>9065531061</v>
      </c>
      <c r="G49" s="31">
        <v>0.864583333333333</v>
      </c>
      <c r="H49" s="32">
        <v>0.885416666666667</v>
      </c>
      <c r="I49" s="48" t="s">
        <v>27</v>
      </c>
      <c r="J49" s="7" t="s">
        <v>75</v>
      </c>
      <c r="K49" s="7" t="s">
        <v>77</v>
      </c>
      <c r="L49" s="49" t="s">
        <v>24</v>
      </c>
      <c r="M49" s="5"/>
    </row>
    <row r="50" hidden="1" spans="1:13">
      <c r="A50" s="28"/>
      <c r="B50" s="5" t="s">
        <v>18</v>
      </c>
      <c r="C50" s="5" t="s">
        <v>15</v>
      </c>
      <c r="D50" s="30" t="s">
        <v>16</v>
      </c>
      <c r="E50" s="30"/>
      <c r="F50" s="33"/>
      <c r="G50" s="31"/>
      <c r="H50" s="32"/>
      <c r="I50" s="48"/>
      <c r="J50" s="7"/>
      <c r="K50" s="7"/>
      <c r="L50" s="49"/>
      <c r="M50" s="5"/>
    </row>
    <row r="51" hidden="1" spans="1:13">
      <c r="A51" s="28"/>
      <c r="B51" s="5"/>
      <c r="C51" s="5"/>
      <c r="D51" s="30"/>
      <c r="E51" s="30"/>
      <c r="F51" s="30"/>
      <c r="G51" s="31"/>
      <c r="H51" s="31"/>
      <c r="I51" s="48"/>
      <c r="J51" s="7"/>
      <c r="K51" s="7"/>
      <c r="L51" s="49"/>
      <c r="M51" s="5"/>
    </row>
    <row r="52" hidden="1" spans="1:13">
      <c r="A52" s="28">
        <v>46030</v>
      </c>
      <c r="B52" s="29" t="s">
        <v>14</v>
      </c>
      <c r="C52" s="5" t="s">
        <v>15</v>
      </c>
      <c r="D52" s="30" t="s">
        <v>16</v>
      </c>
      <c r="E52" s="30"/>
      <c r="F52" s="5"/>
      <c r="G52" s="31"/>
      <c r="H52" s="31"/>
      <c r="I52" s="48"/>
      <c r="J52" s="7"/>
      <c r="K52" s="7"/>
      <c r="L52" s="49"/>
      <c r="M52" s="5"/>
    </row>
    <row r="53" spans="1:13">
      <c r="A53" s="28"/>
      <c r="B53" s="5" t="s">
        <v>17</v>
      </c>
      <c r="C53" s="5" t="s">
        <v>28</v>
      </c>
      <c r="D53" s="30" t="s">
        <v>29</v>
      </c>
      <c r="E53" s="30">
        <v>110019177650</v>
      </c>
      <c r="F53" s="30">
        <v>9065531061</v>
      </c>
      <c r="G53" s="31">
        <v>0.365972222222222</v>
      </c>
      <c r="H53" s="34">
        <v>0.386805555555556</v>
      </c>
      <c r="I53" s="48" t="s">
        <v>27</v>
      </c>
      <c r="J53" s="7" t="s">
        <v>77</v>
      </c>
      <c r="K53" s="7" t="s">
        <v>78</v>
      </c>
      <c r="L53" s="49" t="s">
        <v>47</v>
      </c>
      <c r="M53" s="5"/>
    </row>
    <row r="54" hidden="1" spans="1:13">
      <c r="A54" s="28"/>
      <c r="B54" s="5" t="s">
        <v>18</v>
      </c>
      <c r="C54" s="5" t="s">
        <v>15</v>
      </c>
      <c r="D54" s="30" t="s">
        <v>16</v>
      </c>
      <c r="E54" s="30"/>
      <c r="F54" s="5"/>
      <c r="G54" s="31"/>
      <c r="H54" s="31"/>
      <c r="I54" s="48"/>
      <c r="J54" s="18"/>
      <c r="K54" s="18"/>
      <c r="L54" s="49"/>
      <c r="M54" s="5"/>
    </row>
    <row r="55" hidden="1" spans="1:13">
      <c r="A55" s="28"/>
      <c r="B55" s="5" t="s">
        <v>35</v>
      </c>
      <c r="C55" s="5" t="s">
        <v>15</v>
      </c>
      <c r="D55" s="30" t="s">
        <v>16</v>
      </c>
      <c r="E55" s="30"/>
      <c r="F55" s="5"/>
      <c r="G55" s="31"/>
      <c r="H55" s="38"/>
      <c r="I55" s="48"/>
      <c r="J55" s="7"/>
      <c r="K55" s="7"/>
      <c r="L55" s="49"/>
      <c r="M55" s="5"/>
    </row>
    <row r="56" spans="1:13">
      <c r="A56" s="28"/>
      <c r="B56" s="5" t="s">
        <v>17</v>
      </c>
      <c r="C56" s="5" t="s">
        <v>28</v>
      </c>
      <c r="D56" s="30" t="s">
        <v>29</v>
      </c>
      <c r="E56" s="30">
        <v>110019188578</v>
      </c>
      <c r="F56" s="30">
        <v>9065531061</v>
      </c>
      <c r="G56" s="39">
        <v>0.865277777777778</v>
      </c>
      <c r="H56" s="40">
        <v>0.888194444444444</v>
      </c>
      <c r="I56" s="51" t="s">
        <v>36</v>
      </c>
      <c r="J56" s="7" t="s">
        <v>78</v>
      </c>
      <c r="K56" s="7" t="s">
        <v>79</v>
      </c>
      <c r="L56" s="49" t="s">
        <v>64</v>
      </c>
      <c r="M56" s="5"/>
    </row>
    <row r="57" hidden="1" spans="1:13">
      <c r="A57" s="28"/>
      <c r="B57" s="5" t="s">
        <v>18</v>
      </c>
      <c r="C57" s="5" t="s">
        <v>15</v>
      </c>
      <c r="D57" s="30" t="s">
        <v>16</v>
      </c>
      <c r="E57" s="30"/>
      <c r="F57" s="33"/>
      <c r="G57" s="31"/>
      <c r="H57" s="32"/>
      <c r="I57" s="48"/>
      <c r="J57" s="7"/>
      <c r="K57" s="7"/>
      <c r="L57" s="49"/>
      <c r="M57" s="5"/>
    </row>
    <row r="58" hidden="1" spans="1:13">
      <c r="A58" s="28"/>
      <c r="B58" s="5"/>
      <c r="C58" s="5"/>
      <c r="D58" s="30"/>
      <c r="E58" s="41"/>
      <c r="F58" s="30"/>
      <c r="G58" s="31"/>
      <c r="H58" s="31"/>
      <c r="I58" s="48"/>
      <c r="J58" s="7"/>
      <c r="K58" s="7"/>
      <c r="L58" s="49"/>
      <c r="M58" s="5"/>
    </row>
    <row r="59" hidden="1" spans="1:13">
      <c r="A59" s="28">
        <v>46031</v>
      </c>
      <c r="B59" s="29" t="s">
        <v>14</v>
      </c>
      <c r="C59" s="5" t="s">
        <v>48</v>
      </c>
      <c r="D59" s="42" t="s">
        <v>80</v>
      </c>
      <c r="E59" s="30">
        <v>110019198273</v>
      </c>
      <c r="F59" s="43">
        <v>7992490731</v>
      </c>
      <c r="G59" s="31">
        <v>0.365277777777778</v>
      </c>
      <c r="H59" s="32">
        <v>0.886111111111111</v>
      </c>
      <c r="I59" s="48" t="s">
        <v>27</v>
      </c>
      <c r="J59" s="7">
        <v>1513</v>
      </c>
      <c r="K59" s="7">
        <v>1517</v>
      </c>
      <c r="L59" s="49" t="s">
        <v>81</v>
      </c>
      <c r="M59" s="5"/>
    </row>
    <row r="60" spans="1:13">
      <c r="A60" s="28"/>
      <c r="B60" s="5" t="s">
        <v>17</v>
      </c>
      <c r="C60" s="5" t="s">
        <v>28</v>
      </c>
      <c r="D60" s="30" t="s">
        <v>29</v>
      </c>
      <c r="E60" s="36">
        <v>110019197117</v>
      </c>
      <c r="F60" s="30">
        <v>9065531061</v>
      </c>
      <c r="G60" s="39">
        <v>0.367361111111111</v>
      </c>
      <c r="H60" s="40">
        <v>0.886805555555556</v>
      </c>
      <c r="I60" s="51" t="s">
        <v>68</v>
      </c>
      <c r="J60" s="7" t="s">
        <v>79</v>
      </c>
      <c r="K60" s="7" t="s">
        <v>82</v>
      </c>
      <c r="L60" s="49" t="s">
        <v>24</v>
      </c>
      <c r="M60" s="5"/>
    </row>
    <row r="61" hidden="1" spans="1:13">
      <c r="A61" s="28"/>
      <c r="B61" s="5" t="s">
        <v>18</v>
      </c>
      <c r="C61" s="5" t="s">
        <v>28</v>
      </c>
      <c r="D61" s="30" t="s">
        <v>83</v>
      </c>
      <c r="E61" s="30"/>
      <c r="F61" s="5">
        <v>9065522599</v>
      </c>
      <c r="G61" s="39">
        <v>0.366666666666667</v>
      </c>
      <c r="H61" s="40">
        <v>0.8875</v>
      </c>
      <c r="I61" s="51" t="s">
        <v>27</v>
      </c>
      <c r="J61" s="20" t="s">
        <v>76</v>
      </c>
      <c r="K61" s="20" t="s">
        <v>76</v>
      </c>
      <c r="L61" s="49" t="s">
        <v>64</v>
      </c>
      <c r="M61" s="5"/>
    </row>
    <row r="62" hidden="1" spans="1:13">
      <c r="A62" s="28"/>
      <c r="B62" s="5" t="s">
        <v>35</v>
      </c>
      <c r="C62" s="5" t="s">
        <v>15</v>
      </c>
      <c r="D62" s="42" t="s">
        <v>16</v>
      </c>
      <c r="E62" s="30"/>
      <c r="F62" s="5"/>
      <c r="G62" s="31"/>
      <c r="H62" s="44"/>
      <c r="I62" s="48"/>
      <c r="J62" s="7"/>
      <c r="K62" s="7"/>
      <c r="L62" s="49"/>
      <c r="M62" s="5"/>
    </row>
    <row r="63" spans="1:13">
      <c r="A63" s="28"/>
      <c r="B63" s="5" t="s">
        <v>17</v>
      </c>
      <c r="C63" s="5" t="s">
        <v>28</v>
      </c>
      <c r="D63" s="30" t="s">
        <v>29</v>
      </c>
      <c r="E63" s="30">
        <v>110019207476</v>
      </c>
      <c r="F63" s="30">
        <v>9065531061</v>
      </c>
      <c r="G63" s="39">
        <v>0.864583333333333</v>
      </c>
      <c r="H63" s="40">
        <v>0.885416666666667</v>
      </c>
      <c r="I63" s="51" t="s">
        <v>27</v>
      </c>
      <c r="J63" s="7" t="s">
        <v>82</v>
      </c>
      <c r="K63" s="7" t="s">
        <v>84</v>
      </c>
      <c r="L63" s="49" t="s">
        <v>24</v>
      </c>
      <c r="M63" s="5"/>
    </row>
    <row r="64" hidden="1" spans="1:13">
      <c r="A64" s="28"/>
      <c r="B64" s="5" t="s">
        <v>18</v>
      </c>
      <c r="C64" s="5" t="s">
        <v>15</v>
      </c>
      <c r="D64" s="30" t="s">
        <v>16</v>
      </c>
      <c r="E64" s="30"/>
      <c r="F64" s="33"/>
      <c r="G64" s="31"/>
      <c r="H64" s="45"/>
      <c r="I64" s="48"/>
      <c r="J64" s="7"/>
      <c r="K64" s="7"/>
      <c r="L64" s="49"/>
      <c r="M64" s="5"/>
    </row>
    <row r="65" hidden="1" spans="1:13">
      <c r="A65" s="28"/>
      <c r="B65" s="5"/>
      <c r="C65" s="5"/>
      <c r="D65" s="30"/>
      <c r="E65" s="30"/>
      <c r="F65" s="30"/>
      <c r="G65" s="31"/>
      <c r="H65" s="31"/>
      <c r="I65" s="48"/>
      <c r="J65" s="7"/>
      <c r="K65" s="7"/>
      <c r="L65" s="49"/>
      <c r="M65" s="5"/>
    </row>
    <row r="66" hidden="1" spans="1:13">
      <c r="A66" s="28">
        <v>46032</v>
      </c>
      <c r="B66" s="29" t="s">
        <v>14</v>
      </c>
      <c r="C66" s="5" t="s">
        <v>48</v>
      </c>
      <c r="D66" s="30" t="s">
        <v>85</v>
      </c>
      <c r="E66" s="30">
        <v>110019207188</v>
      </c>
      <c r="F66" s="5">
        <v>9102712864</v>
      </c>
      <c r="G66" s="31">
        <v>0.357638888888889</v>
      </c>
      <c r="H66" s="38">
        <v>0.368055555555556</v>
      </c>
      <c r="I66" s="48" t="s">
        <v>86</v>
      </c>
      <c r="J66" s="7">
        <v>1517</v>
      </c>
      <c r="K66" s="7">
        <v>1519</v>
      </c>
      <c r="L66" s="49" t="s">
        <v>45</v>
      </c>
      <c r="M66" s="5"/>
    </row>
    <row r="67" spans="1:13">
      <c r="A67" s="28"/>
      <c r="B67" s="5" t="s">
        <v>17</v>
      </c>
      <c r="C67" s="5" t="s">
        <v>28</v>
      </c>
      <c r="D67" s="30" t="s">
        <v>29</v>
      </c>
      <c r="E67" s="30">
        <v>110019218475</v>
      </c>
      <c r="F67" s="30">
        <v>9065531061</v>
      </c>
      <c r="G67" s="39">
        <v>0.371527777777778</v>
      </c>
      <c r="H67" s="34">
        <v>0.385416666666667</v>
      </c>
      <c r="I67" s="51" t="s">
        <v>87</v>
      </c>
      <c r="J67" s="7" t="s">
        <v>84</v>
      </c>
      <c r="K67" s="7" t="s">
        <v>88</v>
      </c>
      <c r="L67" s="49" t="s">
        <v>89</v>
      </c>
      <c r="M67" s="5"/>
    </row>
    <row r="68" hidden="1" spans="1:13">
      <c r="A68" s="28"/>
      <c r="B68" s="5" t="s">
        <v>18</v>
      </c>
      <c r="C68" s="5" t="s">
        <v>15</v>
      </c>
      <c r="D68" s="30" t="s">
        <v>16</v>
      </c>
      <c r="E68" s="30"/>
      <c r="F68" s="5"/>
      <c r="G68" s="31"/>
      <c r="H68" s="45"/>
      <c r="I68" s="48"/>
      <c r="J68" s="18"/>
      <c r="K68" s="7"/>
      <c r="L68" s="49"/>
      <c r="M68" s="5"/>
    </row>
    <row r="69" hidden="1" spans="1:13">
      <c r="A69" s="28"/>
      <c r="B69" s="5" t="s">
        <v>35</v>
      </c>
      <c r="C69" s="5" t="s">
        <v>15</v>
      </c>
      <c r="D69" s="30" t="s">
        <v>16</v>
      </c>
      <c r="E69" s="30"/>
      <c r="F69" s="5"/>
      <c r="G69" s="31"/>
      <c r="H69" s="31"/>
      <c r="I69" s="48"/>
      <c r="J69" s="7"/>
      <c r="K69" s="7"/>
      <c r="L69" s="49"/>
      <c r="M69" s="5"/>
    </row>
    <row r="70" spans="1:13">
      <c r="A70" s="28"/>
      <c r="B70" s="5" t="s">
        <v>17</v>
      </c>
      <c r="C70" s="5" t="s">
        <v>28</v>
      </c>
      <c r="D70" s="30" t="s">
        <v>29</v>
      </c>
      <c r="E70" s="30">
        <v>110019218475</v>
      </c>
      <c r="F70" s="30">
        <v>9065531061</v>
      </c>
      <c r="G70" s="31">
        <v>0.869444444444444</v>
      </c>
      <c r="H70" s="32">
        <v>0.892361111111111</v>
      </c>
      <c r="I70" s="48" t="s">
        <v>36</v>
      </c>
      <c r="J70" s="7" t="s">
        <v>88</v>
      </c>
      <c r="K70" s="7" t="s">
        <v>90</v>
      </c>
      <c r="L70" s="49" t="s">
        <v>89</v>
      </c>
      <c r="M70" s="5"/>
    </row>
    <row r="71" hidden="1" spans="1:13">
      <c r="A71" s="28"/>
      <c r="B71" s="5" t="s">
        <v>18</v>
      </c>
      <c r="C71" s="5" t="s">
        <v>15</v>
      </c>
      <c r="D71" s="30" t="s">
        <v>16</v>
      </c>
      <c r="E71" s="30"/>
      <c r="F71" s="33"/>
      <c r="G71" s="31"/>
      <c r="H71" s="31"/>
      <c r="I71" s="48"/>
      <c r="J71" s="7"/>
      <c r="K71" s="7"/>
      <c r="L71" s="49"/>
      <c r="M71" s="5"/>
    </row>
    <row r="72" hidden="1" spans="1:13">
      <c r="A72" s="28"/>
      <c r="B72" s="5"/>
      <c r="C72" s="5"/>
      <c r="D72" s="30"/>
      <c r="E72" s="30"/>
      <c r="F72" s="30"/>
      <c r="G72" s="31"/>
      <c r="H72" s="31"/>
      <c r="I72" s="48"/>
      <c r="J72" s="7"/>
      <c r="K72" s="7"/>
      <c r="L72" s="49"/>
      <c r="M72" s="5"/>
    </row>
    <row r="73" hidden="1" spans="1:13">
      <c r="A73" s="28">
        <v>46033</v>
      </c>
      <c r="B73" s="29" t="s">
        <v>14</v>
      </c>
      <c r="C73" s="5" t="s">
        <v>15</v>
      </c>
      <c r="D73" s="30" t="s">
        <v>16</v>
      </c>
      <c r="E73" s="30"/>
      <c r="F73" s="5"/>
      <c r="G73" s="31"/>
      <c r="H73" s="31"/>
      <c r="I73" s="48"/>
      <c r="J73" s="7"/>
      <c r="K73" s="7"/>
      <c r="L73" s="49"/>
      <c r="M73" s="5"/>
    </row>
    <row r="74" spans="1:13">
      <c r="A74" s="28"/>
      <c r="B74" s="5" t="s">
        <v>17</v>
      </c>
      <c r="C74" s="5" t="s">
        <v>28</v>
      </c>
      <c r="D74" s="30" t="s">
        <v>29</v>
      </c>
      <c r="E74" s="30">
        <v>110019231502</v>
      </c>
      <c r="F74" s="30">
        <v>9065531061</v>
      </c>
      <c r="G74" s="31">
        <v>0.366666666666667</v>
      </c>
      <c r="H74" s="34">
        <v>0.3875</v>
      </c>
      <c r="I74" s="48" t="s">
        <v>27</v>
      </c>
      <c r="J74" s="7" t="s">
        <v>90</v>
      </c>
      <c r="K74" s="7" t="s">
        <v>91</v>
      </c>
      <c r="L74" s="49" t="s">
        <v>40</v>
      </c>
      <c r="M74" s="5"/>
    </row>
    <row r="75" hidden="1" spans="1:13">
      <c r="A75" s="28"/>
      <c r="B75" s="5" t="s">
        <v>18</v>
      </c>
      <c r="C75" s="5" t="s">
        <v>15</v>
      </c>
      <c r="D75" s="30" t="s">
        <v>16</v>
      </c>
      <c r="E75" s="30"/>
      <c r="F75" s="5"/>
      <c r="G75" s="31"/>
      <c r="H75" s="31"/>
      <c r="I75" s="48"/>
      <c r="J75" s="18"/>
      <c r="K75" s="18"/>
      <c r="L75" s="49"/>
      <c r="M75" s="5"/>
    </row>
    <row r="76" hidden="1" spans="1:13">
      <c r="A76" s="28"/>
      <c r="B76" s="5" t="s">
        <v>35</v>
      </c>
      <c r="C76" s="5" t="s">
        <v>15</v>
      </c>
      <c r="D76" s="30" t="s">
        <v>16</v>
      </c>
      <c r="E76" s="30"/>
      <c r="F76" s="5"/>
      <c r="G76" s="31"/>
      <c r="H76" s="31"/>
      <c r="I76" s="48"/>
      <c r="J76" s="7"/>
      <c r="K76" s="7"/>
      <c r="L76" s="49"/>
      <c r="M76" s="5"/>
    </row>
    <row r="77" spans="1:13">
      <c r="A77" s="28"/>
      <c r="B77" s="5" t="s">
        <v>17</v>
      </c>
      <c r="C77" s="5" t="s">
        <v>28</v>
      </c>
      <c r="D77" s="30" t="s">
        <v>29</v>
      </c>
      <c r="E77" s="30">
        <v>110019231502</v>
      </c>
      <c r="F77" s="30">
        <v>9065531061</v>
      </c>
      <c r="G77" s="31">
        <v>0.865972222222222</v>
      </c>
      <c r="H77" s="32">
        <v>0.888194444444444</v>
      </c>
      <c r="I77" s="48" t="s">
        <v>59</v>
      </c>
      <c r="J77" s="7" t="s">
        <v>91</v>
      </c>
      <c r="K77" s="7" t="s">
        <v>92</v>
      </c>
      <c r="L77" s="49" t="s">
        <v>40</v>
      </c>
      <c r="M77" s="5"/>
    </row>
    <row r="78" hidden="1" spans="1:13">
      <c r="A78" s="28"/>
      <c r="B78" s="5" t="s">
        <v>18</v>
      </c>
      <c r="C78" s="5" t="s">
        <v>15</v>
      </c>
      <c r="D78" s="30" t="s">
        <v>16</v>
      </c>
      <c r="E78" s="30"/>
      <c r="F78" s="33"/>
      <c r="G78" s="31"/>
      <c r="H78" s="32"/>
      <c r="I78" s="48"/>
      <c r="J78" s="7"/>
      <c r="K78" s="7"/>
      <c r="L78" s="49"/>
      <c r="M78" s="5"/>
    </row>
    <row r="79" hidden="1" spans="1:13">
      <c r="A79" s="28"/>
      <c r="B79" s="5"/>
      <c r="C79" s="5"/>
      <c r="D79" s="30"/>
      <c r="E79" s="30"/>
      <c r="F79" s="30"/>
      <c r="G79" s="31"/>
      <c r="H79" s="31"/>
      <c r="I79" s="48"/>
      <c r="J79" s="7"/>
      <c r="K79" s="7"/>
      <c r="L79" s="49"/>
      <c r="M79" s="5"/>
    </row>
    <row r="80" hidden="1" spans="1:13">
      <c r="A80" s="28">
        <v>46034</v>
      </c>
      <c r="B80" s="29" t="s">
        <v>14</v>
      </c>
      <c r="C80" s="5" t="s">
        <v>93</v>
      </c>
      <c r="D80" s="30" t="s">
        <v>94</v>
      </c>
      <c r="E80" s="30">
        <v>110019240553</v>
      </c>
      <c r="F80" s="30">
        <v>9263636002</v>
      </c>
      <c r="G80" s="31">
        <v>0.365972222222222</v>
      </c>
      <c r="H80" s="31">
        <v>0.3875</v>
      </c>
      <c r="I80" s="48" t="s">
        <v>32</v>
      </c>
      <c r="J80" s="7">
        <v>1519</v>
      </c>
      <c r="K80" s="7">
        <v>1523</v>
      </c>
      <c r="L80" s="49" t="s">
        <v>81</v>
      </c>
      <c r="M80" s="5"/>
    </row>
    <row r="81" spans="1:13">
      <c r="A81" s="28"/>
      <c r="B81" s="5" t="s">
        <v>17</v>
      </c>
      <c r="C81" s="5" t="s">
        <v>28</v>
      </c>
      <c r="D81" s="30" t="s">
        <v>29</v>
      </c>
      <c r="E81" s="30">
        <v>110019332468</v>
      </c>
      <c r="F81" s="30">
        <v>9065531061</v>
      </c>
      <c r="G81" s="31">
        <v>0.364583333333333</v>
      </c>
      <c r="H81" s="34">
        <v>0.385416666666667</v>
      </c>
      <c r="I81" s="48" t="s">
        <v>27</v>
      </c>
      <c r="J81" s="7"/>
      <c r="K81" s="7"/>
      <c r="L81" s="49"/>
      <c r="M81" s="5"/>
    </row>
    <row r="82" hidden="1" spans="1:13">
      <c r="A82" s="28"/>
      <c r="B82" s="5" t="s">
        <v>18</v>
      </c>
      <c r="C82" s="5" t="s">
        <v>95</v>
      </c>
      <c r="D82" s="30" t="s">
        <v>96</v>
      </c>
      <c r="E82" s="30">
        <v>110019247510</v>
      </c>
      <c r="F82" s="30">
        <v>7030942282</v>
      </c>
      <c r="G82" s="31">
        <v>0.367361111111111</v>
      </c>
      <c r="H82" s="31">
        <v>0.385416666666667</v>
      </c>
      <c r="I82" s="48" t="s">
        <v>21</v>
      </c>
      <c r="J82" s="20" t="s">
        <v>97</v>
      </c>
      <c r="K82" s="20" t="s">
        <v>98</v>
      </c>
      <c r="L82" s="49" t="s">
        <v>64</v>
      </c>
      <c r="M82" s="5"/>
    </row>
    <row r="83" hidden="1" spans="1:13">
      <c r="A83" s="28"/>
      <c r="B83" s="5" t="s">
        <v>35</v>
      </c>
      <c r="C83" s="5" t="s">
        <v>15</v>
      </c>
      <c r="D83" s="30" t="s">
        <v>16</v>
      </c>
      <c r="E83" s="30"/>
      <c r="F83" s="5"/>
      <c r="G83" s="31"/>
      <c r="H83" s="31"/>
      <c r="I83" s="48"/>
      <c r="J83" s="7"/>
      <c r="K83" s="7"/>
      <c r="L83" s="49"/>
      <c r="M83" s="5"/>
    </row>
    <row r="84" spans="1:13">
      <c r="A84" s="28"/>
      <c r="B84" s="5" t="s">
        <v>99</v>
      </c>
      <c r="C84" s="5" t="s">
        <v>28</v>
      </c>
      <c r="D84" s="30" t="s">
        <v>29</v>
      </c>
      <c r="E84" s="30">
        <v>110019332468</v>
      </c>
      <c r="F84" s="30">
        <v>9065531061</v>
      </c>
      <c r="G84" s="31">
        <v>0.867361111111111</v>
      </c>
      <c r="H84" s="32">
        <v>0.8875</v>
      </c>
      <c r="I84" s="48" t="s">
        <v>41</v>
      </c>
      <c r="J84" s="7" t="s">
        <v>92</v>
      </c>
      <c r="K84" s="7" t="s">
        <v>100</v>
      </c>
      <c r="L84" s="49" t="s">
        <v>101</v>
      </c>
      <c r="M84" s="5"/>
    </row>
    <row r="85" hidden="1" spans="1:13">
      <c r="A85" s="28"/>
      <c r="B85" s="5" t="s">
        <v>102</v>
      </c>
      <c r="C85" s="5" t="s">
        <v>15</v>
      </c>
      <c r="D85" s="30" t="s">
        <v>16</v>
      </c>
      <c r="E85" s="30"/>
      <c r="F85" s="33"/>
      <c r="G85" s="31"/>
      <c r="H85" s="31"/>
      <c r="I85" s="48"/>
      <c r="J85" s="7"/>
      <c r="K85" s="7"/>
      <c r="L85" s="5"/>
      <c r="M85" s="5"/>
    </row>
    <row r="86" hidden="1" spans="1:13">
      <c r="A86" s="28"/>
      <c r="B86" s="5"/>
      <c r="C86" s="5"/>
      <c r="D86" s="30"/>
      <c r="E86" s="30"/>
      <c r="F86" s="30"/>
      <c r="G86" s="31"/>
      <c r="H86" s="31"/>
      <c r="I86" s="48"/>
      <c r="J86" s="7"/>
      <c r="K86" s="7"/>
      <c r="L86" s="5"/>
      <c r="M86" s="5"/>
    </row>
    <row r="87" hidden="1" spans="1:13">
      <c r="A87" s="28">
        <v>46035</v>
      </c>
      <c r="B87" s="29" t="s">
        <v>14</v>
      </c>
      <c r="C87" s="5" t="s">
        <v>103</v>
      </c>
      <c r="D87" s="30" t="s">
        <v>104</v>
      </c>
      <c r="E87" s="30">
        <v>110019267006</v>
      </c>
      <c r="F87" s="5">
        <v>7209201984</v>
      </c>
      <c r="G87" s="31">
        <v>0.364583333333333</v>
      </c>
      <c r="H87" s="31">
        <v>0.385416666666667</v>
      </c>
      <c r="I87" s="48" t="s">
        <v>27</v>
      </c>
      <c r="J87" s="7">
        <v>1523</v>
      </c>
      <c r="K87" s="7">
        <v>1527</v>
      </c>
      <c r="L87" s="5">
        <v>4</v>
      </c>
      <c r="M87" s="5"/>
    </row>
    <row r="88" spans="1:13">
      <c r="A88" s="28"/>
      <c r="B88" s="5" t="s">
        <v>105</v>
      </c>
      <c r="C88" s="5" t="s">
        <v>28</v>
      </c>
      <c r="D88" s="30" t="s">
        <v>29</v>
      </c>
      <c r="E88" s="30">
        <v>110019261783</v>
      </c>
      <c r="F88" s="30">
        <v>9065531061</v>
      </c>
      <c r="G88" s="31">
        <v>0.364583333333333</v>
      </c>
      <c r="H88" s="34">
        <v>0.385416666666667</v>
      </c>
      <c r="I88" s="48" t="s">
        <v>27</v>
      </c>
      <c r="J88" s="7"/>
      <c r="K88" s="7"/>
      <c r="L88" s="5"/>
      <c r="M88" s="5"/>
    </row>
    <row r="89" hidden="1" spans="1:13">
      <c r="A89" s="28"/>
      <c r="B89" s="5" t="s">
        <v>18</v>
      </c>
      <c r="C89" s="5" t="s">
        <v>103</v>
      </c>
      <c r="D89" s="30" t="s">
        <v>106</v>
      </c>
      <c r="E89" s="30">
        <v>110019262340</v>
      </c>
      <c r="F89" s="5">
        <v>6206805225</v>
      </c>
      <c r="G89" s="31">
        <v>0.363888888888889</v>
      </c>
      <c r="H89" s="31">
        <v>0.385416666666667</v>
      </c>
      <c r="I89" s="48" t="s">
        <v>32</v>
      </c>
      <c r="J89" s="20" t="s">
        <v>98</v>
      </c>
      <c r="K89" s="20" t="s">
        <v>107</v>
      </c>
      <c r="L89" s="49" t="s">
        <v>64</v>
      </c>
      <c r="M89" s="5"/>
    </row>
    <row r="90" hidden="1" spans="1:13">
      <c r="A90" s="28"/>
      <c r="B90" s="5" t="s">
        <v>35</v>
      </c>
      <c r="C90" s="5" t="s">
        <v>15</v>
      </c>
      <c r="D90" s="30" t="s">
        <v>16</v>
      </c>
      <c r="E90" s="30"/>
      <c r="F90" s="5"/>
      <c r="G90" s="31"/>
      <c r="H90" s="31"/>
      <c r="I90" s="48"/>
      <c r="J90" s="7"/>
      <c r="K90" s="7"/>
      <c r="L90" s="5"/>
      <c r="M90" s="5"/>
    </row>
    <row r="91" spans="1:13">
      <c r="A91" s="28"/>
      <c r="B91" s="5" t="s">
        <v>17</v>
      </c>
      <c r="C91" s="5" t="s">
        <v>28</v>
      </c>
      <c r="D91" s="30" t="s">
        <v>29</v>
      </c>
      <c r="E91" s="30">
        <v>110019271845</v>
      </c>
      <c r="F91" s="30">
        <v>9065531061</v>
      </c>
      <c r="G91" s="31">
        <v>0.366666666666667</v>
      </c>
      <c r="H91" s="34">
        <v>0.885416666666667</v>
      </c>
      <c r="I91" s="48" t="s">
        <v>37</v>
      </c>
      <c r="J91" s="7" t="s">
        <v>100</v>
      </c>
      <c r="K91" s="7" t="s">
        <v>108</v>
      </c>
      <c r="L91" s="49" t="s">
        <v>109</v>
      </c>
      <c r="M91" s="5"/>
    </row>
    <row r="92" hidden="1" spans="1:13">
      <c r="A92" s="28"/>
      <c r="B92" s="5" t="s">
        <v>18</v>
      </c>
      <c r="C92" s="5" t="s">
        <v>15</v>
      </c>
      <c r="D92" s="30" t="s">
        <v>16</v>
      </c>
      <c r="E92" s="30"/>
      <c r="F92" s="33"/>
      <c r="G92" s="31"/>
      <c r="H92" s="31"/>
      <c r="I92" s="48"/>
      <c r="J92" s="7"/>
      <c r="K92" s="7"/>
      <c r="L92" s="5"/>
      <c r="M92" s="5"/>
    </row>
    <row r="93" hidden="1" spans="1:13">
      <c r="A93" s="28"/>
      <c r="B93" s="5"/>
      <c r="C93" s="5"/>
      <c r="D93" s="30"/>
      <c r="E93" s="30"/>
      <c r="F93" s="30"/>
      <c r="G93" s="31"/>
      <c r="H93" s="31"/>
      <c r="I93" s="48"/>
      <c r="J93" s="7"/>
      <c r="K93" s="7"/>
      <c r="L93" s="5"/>
      <c r="M93" s="5"/>
    </row>
    <row r="94" hidden="1" spans="1:13">
      <c r="A94" s="28">
        <v>46036</v>
      </c>
      <c r="B94" s="29" t="s">
        <v>14</v>
      </c>
      <c r="C94" s="5" t="s">
        <v>48</v>
      </c>
      <c r="D94" s="30" t="s">
        <v>110</v>
      </c>
      <c r="E94" s="30">
        <v>110019281516</v>
      </c>
      <c r="F94" s="30">
        <v>7209847429</v>
      </c>
      <c r="G94" s="31">
        <v>0.371527777777778</v>
      </c>
      <c r="H94" s="31">
        <v>0.3875</v>
      </c>
      <c r="I94" s="48" t="s">
        <v>44</v>
      </c>
      <c r="J94" s="7">
        <v>1527</v>
      </c>
      <c r="K94" s="7">
        <v>1532</v>
      </c>
      <c r="L94" s="5">
        <v>5</v>
      </c>
      <c r="M94" s="5"/>
    </row>
    <row r="95" spans="1:13">
      <c r="A95" s="28"/>
      <c r="B95" s="5" t="s">
        <v>17</v>
      </c>
      <c r="C95" s="5" t="s">
        <v>28</v>
      </c>
      <c r="D95" s="30" t="s">
        <v>29</v>
      </c>
      <c r="E95" s="30">
        <v>11019278782</v>
      </c>
      <c r="F95" s="30">
        <v>9065531061</v>
      </c>
      <c r="G95" s="31">
        <v>0.371527777777778</v>
      </c>
      <c r="H95" s="34">
        <v>0.3875</v>
      </c>
      <c r="I95" s="48" t="s">
        <v>44</v>
      </c>
      <c r="J95" s="7"/>
      <c r="K95" s="7"/>
      <c r="L95" s="5"/>
      <c r="M95" s="5"/>
    </row>
    <row r="96" hidden="1" spans="1:13">
      <c r="A96" s="28"/>
      <c r="B96" s="5" t="s">
        <v>18</v>
      </c>
      <c r="C96" s="5" t="s">
        <v>103</v>
      </c>
      <c r="D96" s="30" t="s">
        <v>106</v>
      </c>
      <c r="E96" s="30">
        <v>110019279299</v>
      </c>
      <c r="F96" s="5">
        <v>6206805225</v>
      </c>
      <c r="G96" s="31">
        <v>0.365277777777778</v>
      </c>
      <c r="H96" s="31">
        <v>0.388194444444444</v>
      </c>
      <c r="I96" s="48" t="s">
        <v>36</v>
      </c>
      <c r="J96" s="20" t="s">
        <v>107</v>
      </c>
      <c r="K96" s="20" t="s">
        <v>111</v>
      </c>
      <c r="L96" s="49" t="s">
        <v>24</v>
      </c>
      <c r="M96" s="5"/>
    </row>
    <row r="97" hidden="1" spans="1:13">
      <c r="A97" s="28"/>
      <c r="B97" s="5" t="s">
        <v>35</v>
      </c>
      <c r="C97" s="5" t="s">
        <v>15</v>
      </c>
      <c r="D97" s="30" t="s">
        <v>16</v>
      </c>
      <c r="E97" s="30"/>
      <c r="F97" s="5"/>
      <c r="G97" s="31"/>
      <c r="H97" s="31"/>
      <c r="I97" s="48"/>
      <c r="J97" s="7"/>
      <c r="K97" s="7"/>
      <c r="L97" s="5"/>
      <c r="M97" s="5"/>
    </row>
    <row r="98" spans="1:13">
      <c r="A98" s="28"/>
      <c r="B98" s="5" t="s">
        <v>17</v>
      </c>
      <c r="C98" s="5" t="s">
        <v>28</v>
      </c>
      <c r="D98" s="30" t="s">
        <v>29</v>
      </c>
      <c r="E98" s="30">
        <v>11019278782</v>
      </c>
      <c r="F98" s="30">
        <v>9065531061</v>
      </c>
      <c r="G98" s="31">
        <v>0.865277777777778</v>
      </c>
      <c r="H98" s="32">
        <v>0.885416666666667</v>
      </c>
      <c r="I98" s="48" t="s">
        <v>41</v>
      </c>
      <c r="J98" s="7" t="s">
        <v>108</v>
      </c>
      <c r="K98" s="7" t="s">
        <v>112</v>
      </c>
      <c r="L98" s="49" t="s">
        <v>113</v>
      </c>
      <c r="M98" s="5"/>
    </row>
    <row r="99" hidden="1" spans="1:13">
      <c r="A99" s="28"/>
      <c r="B99" s="5" t="s">
        <v>18</v>
      </c>
      <c r="C99" s="5" t="s">
        <v>15</v>
      </c>
      <c r="D99" s="30" t="s">
        <v>16</v>
      </c>
      <c r="E99" s="30"/>
      <c r="F99" s="33"/>
      <c r="G99" s="31"/>
      <c r="H99" s="31"/>
      <c r="I99" s="48"/>
      <c r="J99" s="7"/>
      <c r="K99" s="7"/>
      <c r="L99" s="5"/>
      <c r="M99" s="5"/>
    </row>
    <row r="100" hidden="1" spans="1:13">
      <c r="A100" s="28"/>
      <c r="B100" s="5"/>
      <c r="C100" s="5"/>
      <c r="D100" s="30"/>
      <c r="E100" s="30"/>
      <c r="F100" s="30"/>
      <c r="G100" s="31"/>
      <c r="H100" s="31"/>
      <c r="I100" s="48"/>
      <c r="J100" s="7"/>
      <c r="K100" s="7"/>
      <c r="L100" s="5"/>
      <c r="M100" s="5"/>
    </row>
    <row r="101" hidden="1" spans="1:13">
      <c r="A101" s="28">
        <v>46037</v>
      </c>
      <c r="B101" s="29" t="s">
        <v>14</v>
      </c>
      <c r="C101" s="5" t="s">
        <v>15</v>
      </c>
      <c r="D101" s="30" t="s">
        <v>16</v>
      </c>
      <c r="E101" s="30"/>
      <c r="F101" s="5"/>
      <c r="G101" s="31"/>
      <c r="H101" s="31"/>
      <c r="I101" s="48"/>
      <c r="J101" s="7"/>
      <c r="K101" s="7"/>
      <c r="L101" s="49"/>
      <c r="M101" s="5"/>
    </row>
    <row r="102" spans="1:13">
      <c r="A102" s="28"/>
      <c r="B102" s="5" t="s">
        <v>17</v>
      </c>
      <c r="C102" s="5" t="s">
        <v>28</v>
      </c>
      <c r="D102" s="30" t="s">
        <v>29</v>
      </c>
      <c r="E102" s="30">
        <v>110019295730</v>
      </c>
      <c r="F102" s="30">
        <v>9065531061</v>
      </c>
      <c r="G102" s="31">
        <v>0.371527777777778</v>
      </c>
      <c r="H102" s="34">
        <v>0.388194444444444</v>
      </c>
      <c r="I102" s="48" t="s">
        <v>57</v>
      </c>
      <c r="J102" s="7" t="s">
        <v>112</v>
      </c>
      <c r="K102" s="7" t="s">
        <v>114</v>
      </c>
      <c r="L102" s="49" t="s">
        <v>113</v>
      </c>
      <c r="M102" s="5"/>
    </row>
    <row r="103" hidden="1" spans="1:13">
      <c r="A103" s="28"/>
      <c r="B103" s="5" t="s">
        <v>18</v>
      </c>
      <c r="C103" s="5" t="s">
        <v>103</v>
      </c>
      <c r="D103" s="30" t="s">
        <v>106</v>
      </c>
      <c r="E103" s="30">
        <v>110019295886</v>
      </c>
      <c r="F103" s="5">
        <v>6206805225</v>
      </c>
      <c r="G103" s="31">
        <v>0.365972222222222</v>
      </c>
      <c r="H103" s="31">
        <v>0.385416666666667</v>
      </c>
      <c r="I103" s="48" t="s">
        <v>115</v>
      </c>
      <c r="J103" s="20" t="s">
        <v>111</v>
      </c>
      <c r="K103" s="18" t="s">
        <v>116</v>
      </c>
      <c r="L103" s="49" t="s">
        <v>24</v>
      </c>
      <c r="M103" s="5"/>
    </row>
    <row r="104" hidden="1" spans="1:13">
      <c r="A104" s="28"/>
      <c r="B104" s="5" t="s">
        <v>35</v>
      </c>
      <c r="C104" s="5" t="s">
        <v>15</v>
      </c>
      <c r="D104" s="30" t="s">
        <v>16</v>
      </c>
      <c r="E104" s="30"/>
      <c r="F104" s="5"/>
      <c r="G104" s="31"/>
      <c r="H104" s="32"/>
      <c r="I104" s="48"/>
      <c r="J104" s="7"/>
      <c r="K104" s="7"/>
      <c r="L104" s="5"/>
      <c r="M104" s="5"/>
    </row>
    <row r="105" hidden="1" spans="1:13">
      <c r="A105" s="28"/>
      <c r="B105" s="5" t="s">
        <v>17</v>
      </c>
      <c r="C105" s="5" t="s">
        <v>15</v>
      </c>
      <c r="D105" s="30" t="s">
        <v>16</v>
      </c>
      <c r="E105" s="30"/>
      <c r="F105" s="30"/>
      <c r="G105" s="31"/>
      <c r="H105" s="32"/>
      <c r="I105" s="48"/>
      <c r="J105" s="7"/>
      <c r="K105" s="7"/>
      <c r="L105" s="5"/>
      <c r="M105" s="5"/>
    </row>
    <row r="106" hidden="1" spans="1:13">
      <c r="A106" s="28"/>
      <c r="B106" s="5" t="s">
        <v>18</v>
      </c>
      <c r="C106" s="5" t="s">
        <v>15</v>
      </c>
      <c r="D106" s="30" t="s">
        <v>16</v>
      </c>
      <c r="E106" s="30"/>
      <c r="F106" s="33"/>
      <c r="G106" s="31"/>
      <c r="H106" s="31"/>
      <c r="I106" s="48"/>
      <c r="J106" s="7"/>
      <c r="K106" s="7"/>
      <c r="L106" s="49"/>
      <c r="M106" s="5"/>
    </row>
    <row r="107" hidden="1" spans="1:13">
      <c r="A107" s="28"/>
      <c r="B107" s="5"/>
      <c r="C107" s="5"/>
      <c r="D107" s="30"/>
      <c r="E107" s="30"/>
      <c r="F107" s="30"/>
      <c r="G107" s="31"/>
      <c r="H107" s="31"/>
      <c r="I107" s="48"/>
      <c r="J107" s="7"/>
      <c r="K107" s="7"/>
      <c r="L107" s="49"/>
      <c r="M107" s="5"/>
    </row>
    <row r="108" hidden="1" spans="1:13">
      <c r="A108" s="28">
        <v>46038</v>
      </c>
      <c r="B108" s="29" t="s">
        <v>14</v>
      </c>
      <c r="C108" s="5" t="s">
        <v>48</v>
      </c>
      <c r="D108" s="30" t="s">
        <v>62</v>
      </c>
      <c r="E108" s="30">
        <v>110019310686</v>
      </c>
      <c r="F108" s="5">
        <v>8709478486</v>
      </c>
      <c r="G108" s="31">
        <v>0.366666666666667</v>
      </c>
      <c r="H108" s="31">
        <v>0.386805555555556</v>
      </c>
      <c r="I108" s="48" t="s">
        <v>41</v>
      </c>
      <c r="J108" s="7">
        <v>1532</v>
      </c>
      <c r="K108" s="7">
        <v>1534</v>
      </c>
      <c r="L108" s="49" t="s">
        <v>45</v>
      </c>
      <c r="M108" s="5"/>
    </row>
    <row r="109" spans="1:13">
      <c r="A109" s="28"/>
      <c r="B109" s="5" t="s">
        <v>17</v>
      </c>
      <c r="C109" s="5" t="s">
        <v>28</v>
      </c>
      <c r="D109" s="30" t="s">
        <v>29</v>
      </c>
      <c r="E109" s="30">
        <v>110019311615</v>
      </c>
      <c r="F109" s="30">
        <v>9065531061</v>
      </c>
      <c r="G109" s="31">
        <v>0.372916666666667</v>
      </c>
      <c r="H109" s="34">
        <v>0.391666666666667</v>
      </c>
      <c r="I109" s="48" t="s">
        <v>37</v>
      </c>
      <c r="J109" s="7"/>
      <c r="K109" s="7"/>
      <c r="L109" s="49"/>
      <c r="M109" s="5"/>
    </row>
    <row r="110" hidden="1" spans="1:13">
      <c r="A110" s="28"/>
      <c r="B110" s="5" t="s">
        <v>18</v>
      </c>
      <c r="C110" s="5" t="s">
        <v>103</v>
      </c>
      <c r="D110" s="30" t="s">
        <v>106</v>
      </c>
      <c r="E110" s="30">
        <v>110019313486</v>
      </c>
      <c r="F110" s="5">
        <v>6206805225</v>
      </c>
      <c r="G110" s="31">
        <v>0.364583333333333</v>
      </c>
      <c r="H110" s="31">
        <v>0.385416666666667</v>
      </c>
      <c r="I110" s="48" t="s">
        <v>27</v>
      </c>
      <c r="J110" s="18" t="s">
        <v>116</v>
      </c>
      <c r="K110" s="18" t="s">
        <v>117</v>
      </c>
      <c r="L110" s="49" t="s">
        <v>118</v>
      </c>
      <c r="M110" s="5"/>
    </row>
    <row r="111" hidden="1" spans="1:13">
      <c r="A111" s="28"/>
      <c r="B111" s="5" t="s">
        <v>35</v>
      </c>
      <c r="C111" s="5" t="s">
        <v>15</v>
      </c>
      <c r="D111" s="30" t="s">
        <v>16</v>
      </c>
      <c r="E111" s="30"/>
      <c r="F111" s="5"/>
      <c r="G111" s="31"/>
      <c r="H111" s="32"/>
      <c r="I111" s="48"/>
      <c r="J111" s="7"/>
      <c r="K111" s="7"/>
      <c r="L111" s="49"/>
      <c r="M111" s="5"/>
    </row>
    <row r="112" spans="1:13">
      <c r="A112" s="28"/>
      <c r="B112" s="5" t="s">
        <v>17</v>
      </c>
      <c r="C112" s="5" t="s">
        <v>28</v>
      </c>
      <c r="D112" s="30" t="s">
        <v>29</v>
      </c>
      <c r="E112" s="30">
        <v>110019311615</v>
      </c>
      <c r="F112" s="30">
        <v>9065531061</v>
      </c>
      <c r="G112" s="31">
        <v>0.865277777777778</v>
      </c>
      <c r="H112" s="32">
        <v>0.885416666666667</v>
      </c>
      <c r="I112" s="48" t="s">
        <v>41</v>
      </c>
      <c r="J112" s="7" t="s">
        <v>114</v>
      </c>
      <c r="K112" s="7" t="s">
        <v>119</v>
      </c>
      <c r="L112" s="49" t="s">
        <v>120</v>
      </c>
      <c r="M112" s="5"/>
    </row>
    <row r="113" hidden="1" spans="1:13">
      <c r="A113" s="28"/>
      <c r="B113" s="5" t="s">
        <v>18</v>
      </c>
      <c r="C113" s="5" t="s">
        <v>15</v>
      </c>
      <c r="D113" s="30" t="s">
        <v>16</v>
      </c>
      <c r="E113" s="30"/>
      <c r="F113" s="33"/>
      <c r="G113" s="31"/>
      <c r="H113" s="31"/>
      <c r="I113" s="48"/>
      <c r="J113" s="7"/>
      <c r="K113" s="7"/>
      <c r="L113" s="49"/>
      <c r="M113" s="5"/>
    </row>
    <row r="114" hidden="1" spans="1:13">
      <c r="A114" s="28"/>
      <c r="B114" s="5"/>
      <c r="C114" s="5"/>
      <c r="D114" s="30"/>
      <c r="E114" s="30"/>
      <c r="F114" s="30"/>
      <c r="G114" s="31"/>
      <c r="H114" s="31"/>
      <c r="I114" s="48"/>
      <c r="J114" s="7"/>
      <c r="K114" s="7"/>
      <c r="L114" s="49"/>
      <c r="M114" s="5"/>
    </row>
    <row r="115" hidden="1" spans="1:13">
      <c r="A115" s="28">
        <v>46039</v>
      </c>
      <c r="B115" s="29" t="s">
        <v>14</v>
      </c>
      <c r="C115" s="5" t="s">
        <v>121</v>
      </c>
      <c r="D115" s="30" t="s">
        <v>122</v>
      </c>
      <c r="E115" s="30">
        <v>110019333384</v>
      </c>
      <c r="F115" s="30">
        <v>9234444229</v>
      </c>
      <c r="G115" s="31">
        <v>0.367361111111111</v>
      </c>
      <c r="H115" s="31">
        <v>0.385416666666667</v>
      </c>
      <c r="I115" s="48" t="s">
        <v>21</v>
      </c>
      <c r="J115" s="7">
        <v>1534</v>
      </c>
      <c r="K115" s="7">
        <v>1535</v>
      </c>
      <c r="L115" s="49" t="s">
        <v>123</v>
      </c>
      <c r="M115" s="5"/>
    </row>
    <row r="116" spans="1:13">
      <c r="A116" s="28"/>
      <c r="B116" s="5" t="s">
        <v>17</v>
      </c>
      <c r="C116" s="5" t="s">
        <v>28</v>
      </c>
      <c r="D116" s="30" t="s">
        <v>29</v>
      </c>
      <c r="E116" s="30">
        <v>110019330391</v>
      </c>
      <c r="F116" s="30">
        <v>9065531061</v>
      </c>
      <c r="G116" s="31">
        <v>0.365972222222222</v>
      </c>
      <c r="H116" s="34">
        <v>0.385416666666667</v>
      </c>
      <c r="I116" s="48" t="s">
        <v>68</v>
      </c>
      <c r="J116" s="7"/>
      <c r="K116" s="7"/>
      <c r="L116" s="49"/>
      <c r="M116" s="5"/>
    </row>
    <row r="117" hidden="1" spans="1:13">
      <c r="A117" s="28"/>
      <c r="B117" s="5" t="s">
        <v>18</v>
      </c>
      <c r="C117" s="5" t="s">
        <v>15</v>
      </c>
      <c r="D117" s="30" t="s">
        <v>16</v>
      </c>
      <c r="E117" s="30"/>
      <c r="F117" s="5"/>
      <c r="G117" s="31"/>
      <c r="H117" s="31"/>
      <c r="I117" s="48"/>
      <c r="J117" s="18"/>
      <c r="K117" s="18"/>
      <c r="L117" s="49"/>
      <c r="M117" s="5"/>
    </row>
    <row r="118" hidden="1" spans="1:13">
      <c r="A118" s="28"/>
      <c r="B118" s="5" t="s">
        <v>35</v>
      </c>
      <c r="C118" s="5" t="s">
        <v>15</v>
      </c>
      <c r="D118" s="30" t="s">
        <v>16</v>
      </c>
      <c r="E118" s="30"/>
      <c r="F118" s="5"/>
      <c r="G118" s="31"/>
      <c r="H118" s="31"/>
      <c r="I118" s="48"/>
      <c r="J118" s="7"/>
      <c r="K118" s="7"/>
      <c r="L118" s="49"/>
      <c r="M118" s="5"/>
    </row>
    <row r="119" spans="1:13">
      <c r="A119" s="28"/>
      <c r="B119" s="5" t="s">
        <v>17</v>
      </c>
      <c r="C119" s="5" t="s">
        <v>28</v>
      </c>
      <c r="D119" s="30" t="s">
        <v>29</v>
      </c>
      <c r="E119" s="30">
        <v>110019330391</v>
      </c>
      <c r="F119" s="30">
        <v>9065531061</v>
      </c>
      <c r="G119" s="31">
        <v>0.871527777777778</v>
      </c>
      <c r="H119" s="32">
        <v>0.897222222222222</v>
      </c>
      <c r="I119" s="48" t="s">
        <v>72</v>
      </c>
      <c r="J119" s="7" t="s">
        <v>119</v>
      </c>
      <c r="K119" s="7" t="s">
        <v>124</v>
      </c>
      <c r="L119" s="49" t="s">
        <v>125</v>
      </c>
      <c r="M119" s="5"/>
    </row>
    <row r="120" hidden="1" spans="1:13">
      <c r="A120" s="28"/>
      <c r="B120" s="5" t="s">
        <v>18</v>
      </c>
      <c r="C120" s="5" t="s">
        <v>15</v>
      </c>
      <c r="D120" s="30" t="s">
        <v>16</v>
      </c>
      <c r="E120" s="30"/>
      <c r="F120" s="33"/>
      <c r="G120" s="31"/>
      <c r="H120" s="31"/>
      <c r="I120" s="48"/>
      <c r="J120" s="7"/>
      <c r="K120" s="7"/>
      <c r="L120" s="49"/>
      <c r="M120" s="5"/>
    </row>
    <row r="121" hidden="1" spans="1:13">
      <c r="A121" s="28"/>
      <c r="B121" s="5"/>
      <c r="C121" s="5"/>
      <c r="D121" s="30"/>
      <c r="E121" s="30"/>
      <c r="F121" s="30"/>
      <c r="G121" s="31"/>
      <c r="H121" s="31"/>
      <c r="I121" s="48"/>
      <c r="J121" s="7"/>
      <c r="K121" s="7"/>
      <c r="L121" s="49"/>
      <c r="M121" s="5"/>
    </row>
    <row r="122" hidden="1" spans="1:13">
      <c r="A122" s="28">
        <v>46040</v>
      </c>
      <c r="B122" s="29" t="s">
        <v>14</v>
      </c>
      <c r="C122" s="5" t="s">
        <v>15</v>
      </c>
      <c r="D122" s="30" t="s">
        <v>126</v>
      </c>
      <c r="E122" s="30"/>
      <c r="F122" s="30"/>
      <c r="G122" s="31">
        <v>0.372916666666667</v>
      </c>
      <c r="H122" s="32"/>
      <c r="I122" s="48"/>
      <c r="J122" s="7"/>
      <c r="K122" s="7"/>
      <c r="L122" s="49"/>
      <c r="M122" s="5"/>
    </row>
    <row r="123" spans="1:13">
      <c r="A123" s="28"/>
      <c r="B123" s="5" t="s">
        <v>17</v>
      </c>
      <c r="C123" s="5" t="s">
        <v>28</v>
      </c>
      <c r="D123" s="30" t="s">
        <v>29</v>
      </c>
      <c r="E123" s="30">
        <v>110019344491</v>
      </c>
      <c r="F123" s="30">
        <v>9065531061</v>
      </c>
      <c r="G123" s="31">
        <v>0.364583333333333</v>
      </c>
      <c r="H123" s="34">
        <v>0.385416666666667</v>
      </c>
      <c r="I123" s="48" t="s">
        <v>27</v>
      </c>
      <c r="J123" s="7" t="s">
        <v>124</v>
      </c>
      <c r="K123" s="7" t="s">
        <v>127</v>
      </c>
      <c r="L123" s="49" t="s">
        <v>101</v>
      </c>
      <c r="M123" s="5"/>
    </row>
    <row r="124" hidden="1" spans="1:13">
      <c r="A124" s="28"/>
      <c r="B124" s="5" t="s">
        <v>18</v>
      </c>
      <c r="C124" s="5" t="s">
        <v>28</v>
      </c>
      <c r="D124" s="30" t="s">
        <v>29</v>
      </c>
      <c r="E124" s="30">
        <v>110019349185</v>
      </c>
      <c r="F124" s="5">
        <v>6206805225</v>
      </c>
      <c r="G124" s="31">
        <v>0.367361111111111</v>
      </c>
      <c r="H124" s="34">
        <v>0.385416666666667</v>
      </c>
      <c r="I124" s="48" t="s">
        <v>21</v>
      </c>
      <c r="J124" s="18"/>
      <c r="K124" s="18"/>
      <c r="L124" s="49"/>
      <c r="M124" s="5"/>
    </row>
    <row r="125" hidden="1" spans="1:13">
      <c r="A125" s="28"/>
      <c r="B125" s="5" t="s">
        <v>35</v>
      </c>
      <c r="C125" s="5" t="s">
        <v>15</v>
      </c>
      <c r="D125" s="30" t="s">
        <v>16</v>
      </c>
      <c r="E125" s="30"/>
      <c r="F125" s="5"/>
      <c r="G125" s="31"/>
      <c r="H125" s="31"/>
      <c r="I125" s="48"/>
      <c r="J125" s="7"/>
      <c r="K125" s="7"/>
      <c r="L125" s="49"/>
      <c r="M125" s="5"/>
    </row>
    <row r="126" hidden="1" spans="1:13">
      <c r="A126" s="28"/>
      <c r="B126" s="5" t="s">
        <v>17</v>
      </c>
      <c r="C126" s="5" t="s">
        <v>15</v>
      </c>
      <c r="D126" s="30" t="s">
        <v>16</v>
      </c>
      <c r="E126" s="30"/>
      <c r="F126" s="30"/>
      <c r="G126" s="31"/>
      <c r="H126" s="32"/>
      <c r="I126" s="48"/>
      <c r="J126" s="7"/>
      <c r="K126" s="7"/>
      <c r="L126" s="49"/>
      <c r="M126" s="5"/>
    </row>
    <row r="127" hidden="1" spans="1:13">
      <c r="A127" s="28"/>
      <c r="B127" s="5" t="s">
        <v>18</v>
      </c>
      <c r="C127" s="5" t="s">
        <v>28</v>
      </c>
      <c r="D127" s="30" t="s">
        <v>29</v>
      </c>
      <c r="E127" s="30">
        <v>110019349185</v>
      </c>
      <c r="F127" s="5">
        <v>6206805225</v>
      </c>
      <c r="G127" s="31">
        <v>0.865277777777778</v>
      </c>
      <c r="H127" s="32">
        <v>0.8875</v>
      </c>
      <c r="I127" s="48" t="s">
        <v>59</v>
      </c>
      <c r="J127" s="18" t="s">
        <v>117</v>
      </c>
      <c r="K127" s="18" t="s">
        <v>128</v>
      </c>
      <c r="L127" s="49" t="s">
        <v>120</v>
      </c>
      <c r="M127" s="5"/>
    </row>
    <row r="128" hidden="1" spans="1:13">
      <c r="A128" s="28"/>
      <c r="B128" s="5"/>
      <c r="C128" s="5"/>
      <c r="D128" s="30"/>
      <c r="E128" s="30"/>
      <c r="F128" s="30"/>
      <c r="G128" s="31"/>
      <c r="H128" s="31"/>
      <c r="I128" s="48"/>
      <c r="J128" s="7"/>
      <c r="K128" s="7"/>
      <c r="L128" s="49"/>
      <c r="M128" s="5"/>
    </row>
    <row r="129" hidden="1" spans="1:13">
      <c r="A129" s="28">
        <v>46041</v>
      </c>
      <c r="B129" s="29" t="s">
        <v>14</v>
      </c>
      <c r="C129" s="5" t="s">
        <v>48</v>
      </c>
      <c r="D129" s="30" t="s">
        <v>129</v>
      </c>
      <c r="E129" s="30">
        <v>110019355347</v>
      </c>
      <c r="F129" s="30">
        <v>8092089594</v>
      </c>
      <c r="G129" s="31">
        <v>0.366666666666667</v>
      </c>
      <c r="H129" s="31">
        <v>0.3875</v>
      </c>
      <c r="I129" s="48" t="s">
        <v>27</v>
      </c>
      <c r="J129" s="7">
        <v>1535</v>
      </c>
      <c r="K129" s="7">
        <v>1542</v>
      </c>
      <c r="L129" s="49" t="s">
        <v>130</v>
      </c>
      <c r="M129" s="5"/>
    </row>
    <row r="130" hidden="1" spans="1:13">
      <c r="A130" s="28"/>
      <c r="B130" s="5" t="s">
        <v>17</v>
      </c>
      <c r="C130" s="5" t="s">
        <v>48</v>
      </c>
      <c r="D130" s="30" t="s">
        <v>110</v>
      </c>
      <c r="E130" s="30"/>
      <c r="F130" s="30">
        <v>7209847429</v>
      </c>
      <c r="G130" s="31">
        <v>0.365972222222222</v>
      </c>
      <c r="H130" s="31">
        <v>0.386805555555556</v>
      </c>
      <c r="I130" s="48" t="s">
        <v>27</v>
      </c>
      <c r="J130" s="7" t="s">
        <v>127</v>
      </c>
      <c r="K130" s="7" t="s">
        <v>131</v>
      </c>
      <c r="L130" s="49" t="s">
        <v>89</v>
      </c>
      <c r="M130" s="5"/>
    </row>
    <row r="131" hidden="1" spans="1:13">
      <c r="A131" s="28"/>
      <c r="B131" s="5" t="s">
        <v>18</v>
      </c>
      <c r="C131" s="5" t="s">
        <v>28</v>
      </c>
      <c r="D131" s="30" t="s">
        <v>29</v>
      </c>
      <c r="E131" s="30">
        <v>110019363389</v>
      </c>
      <c r="F131" s="5">
        <v>6206805225</v>
      </c>
      <c r="G131" s="31">
        <v>0.365277777777778</v>
      </c>
      <c r="H131" s="34">
        <v>0.3875</v>
      </c>
      <c r="I131" s="48" t="s">
        <v>59</v>
      </c>
      <c r="J131" s="18" t="s">
        <v>128</v>
      </c>
      <c r="K131" s="18" t="s">
        <v>128</v>
      </c>
      <c r="L131" s="49" t="s">
        <v>64</v>
      </c>
      <c r="M131" s="5"/>
    </row>
    <row r="132" hidden="1" spans="1:13">
      <c r="A132" s="28"/>
      <c r="B132" s="5" t="s">
        <v>35</v>
      </c>
      <c r="C132" s="5" t="s">
        <v>15</v>
      </c>
      <c r="D132" s="30" t="s">
        <v>16</v>
      </c>
      <c r="E132" s="30"/>
      <c r="F132" s="5"/>
      <c r="G132" s="31"/>
      <c r="H132" s="31"/>
      <c r="I132" s="48"/>
      <c r="J132" s="7"/>
      <c r="K132" s="7"/>
      <c r="L132" s="49"/>
      <c r="M132" s="5"/>
    </row>
    <row r="133" hidden="1" spans="1:13">
      <c r="A133" s="28"/>
      <c r="B133" s="5" t="s">
        <v>17</v>
      </c>
      <c r="C133" s="5" t="s">
        <v>15</v>
      </c>
      <c r="D133" s="30" t="s">
        <v>16</v>
      </c>
      <c r="E133" s="30"/>
      <c r="F133" s="30"/>
      <c r="G133" s="31"/>
      <c r="H133" s="32"/>
      <c r="I133" s="48"/>
      <c r="J133" s="7"/>
      <c r="K133" s="7"/>
      <c r="L133" s="49"/>
      <c r="M133" s="5"/>
    </row>
    <row r="134" hidden="1" spans="1:13">
      <c r="A134" s="28"/>
      <c r="B134" s="5" t="s">
        <v>18</v>
      </c>
      <c r="C134" s="5" t="s">
        <v>15</v>
      </c>
      <c r="D134" s="30" t="s">
        <v>16</v>
      </c>
      <c r="E134" s="30"/>
      <c r="F134" s="5"/>
      <c r="G134" s="31"/>
      <c r="H134" s="32"/>
      <c r="I134" s="48"/>
      <c r="J134" s="18"/>
      <c r="K134" s="18"/>
      <c r="L134" s="49"/>
      <c r="M134" s="5"/>
    </row>
    <row r="135" hidden="1" spans="1:13">
      <c r="A135" s="28"/>
      <c r="B135" s="5"/>
      <c r="C135" s="5"/>
      <c r="D135" s="30"/>
      <c r="E135" s="30"/>
      <c r="F135" s="30"/>
      <c r="G135" s="31"/>
      <c r="H135" s="31"/>
      <c r="I135" s="48"/>
      <c r="J135" s="7"/>
      <c r="K135" s="7"/>
      <c r="L135" s="49"/>
      <c r="M135" s="5"/>
    </row>
    <row r="136" hidden="1" spans="1:13">
      <c r="A136" s="28">
        <v>46042</v>
      </c>
      <c r="B136" s="29" t="s">
        <v>14</v>
      </c>
      <c r="C136" s="5" t="s">
        <v>103</v>
      </c>
      <c r="D136" s="30" t="s">
        <v>132</v>
      </c>
      <c r="E136" s="30">
        <v>110019379579</v>
      </c>
      <c r="F136" s="30">
        <v>9234931269</v>
      </c>
      <c r="G136" s="31">
        <v>0.365277777777778</v>
      </c>
      <c r="H136" s="32">
        <v>0.886111111111111</v>
      </c>
      <c r="I136" s="48" t="s">
        <v>27</v>
      </c>
      <c r="J136" s="7">
        <v>1542</v>
      </c>
      <c r="K136" s="7">
        <v>1546</v>
      </c>
      <c r="L136" s="49" t="s">
        <v>81</v>
      </c>
      <c r="M136" s="5"/>
    </row>
    <row r="137" hidden="1" spans="1:13">
      <c r="A137" s="28"/>
      <c r="B137" s="5" t="s">
        <v>17</v>
      </c>
      <c r="C137" s="5" t="s">
        <v>48</v>
      </c>
      <c r="D137" s="30" t="s">
        <v>110</v>
      </c>
      <c r="E137" s="30">
        <v>110019376577</v>
      </c>
      <c r="F137" s="30">
        <v>7209847429</v>
      </c>
      <c r="G137" s="31">
        <v>0.367361111111111</v>
      </c>
      <c r="H137" s="32">
        <v>0.886805555555556</v>
      </c>
      <c r="I137" s="48" t="s">
        <v>68</v>
      </c>
      <c r="J137" s="7" t="s">
        <v>131</v>
      </c>
      <c r="K137" s="7" t="s">
        <v>133</v>
      </c>
      <c r="L137" s="49" t="s">
        <v>24</v>
      </c>
      <c r="M137" s="5"/>
    </row>
    <row r="138" hidden="1" spans="1:13">
      <c r="A138" s="28"/>
      <c r="B138" s="5" t="s">
        <v>18</v>
      </c>
      <c r="C138" s="5" t="s">
        <v>28</v>
      </c>
      <c r="D138" s="30" t="s">
        <v>134</v>
      </c>
      <c r="E138" s="30">
        <v>110019377670</v>
      </c>
      <c r="F138" s="5">
        <v>9234511399</v>
      </c>
      <c r="G138" s="31">
        <v>0.366666666666667</v>
      </c>
      <c r="H138" s="32">
        <v>0.8875</v>
      </c>
      <c r="I138" s="48" t="s">
        <v>27</v>
      </c>
      <c r="J138" s="18" t="s">
        <v>128</v>
      </c>
      <c r="K138" s="18" t="s">
        <v>135</v>
      </c>
      <c r="L138" s="49" t="s">
        <v>89</v>
      </c>
      <c r="M138" s="5"/>
    </row>
    <row r="139" hidden="1" spans="1:13">
      <c r="A139" s="28"/>
      <c r="B139" s="5" t="s">
        <v>35</v>
      </c>
      <c r="C139" s="5" t="s">
        <v>15</v>
      </c>
      <c r="D139" s="30" t="s">
        <v>16</v>
      </c>
      <c r="E139" s="30"/>
      <c r="F139" s="5"/>
      <c r="G139" s="31"/>
      <c r="H139" s="31"/>
      <c r="I139" s="48"/>
      <c r="J139" s="7"/>
      <c r="K139" s="7"/>
      <c r="L139" s="49"/>
      <c r="M139" s="5"/>
    </row>
    <row r="140" hidden="1" spans="1:13">
      <c r="A140" s="28"/>
      <c r="B140" s="5" t="s">
        <v>17</v>
      </c>
      <c r="C140" s="5" t="s">
        <v>15</v>
      </c>
      <c r="D140" s="30" t="s">
        <v>16</v>
      </c>
      <c r="E140" s="30"/>
      <c r="F140" s="30"/>
      <c r="G140" s="31"/>
      <c r="H140" s="32"/>
      <c r="I140" s="48"/>
      <c r="J140" s="7"/>
      <c r="K140" s="7"/>
      <c r="L140" s="49"/>
      <c r="M140" s="5"/>
    </row>
    <row r="141" hidden="1" spans="1:13">
      <c r="A141" s="28"/>
      <c r="B141" s="5" t="s">
        <v>18</v>
      </c>
      <c r="C141" s="5" t="s">
        <v>15</v>
      </c>
      <c r="D141" s="30" t="s">
        <v>16</v>
      </c>
      <c r="E141" s="30"/>
      <c r="F141" s="33"/>
      <c r="G141" s="31"/>
      <c r="H141" s="31"/>
      <c r="I141" s="48"/>
      <c r="J141" s="7"/>
      <c r="K141" s="7"/>
      <c r="L141" s="49"/>
      <c r="M141" s="5"/>
    </row>
    <row r="142" hidden="1" spans="1:13">
      <c r="A142" s="28"/>
      <c r="B142" s="5"/>
      <c r="C142" s="5"/>
      <c r="D142" s="30"/>
      <c r="E142" s="30"/>
      <c r="F142" s="30"/>
      <c r="G142" s="31"/>
      <c r="H142" s="31"/>
      <c r="I142" s="48"/>
      <c r="J142" s="7"/>
      <c r="K142" s="7"/>
      <c r="L142" s="49"/>
      <c r="M142" s="5"/>
    </row>
    <row r="143" hidden="1" spans="1:13">
      <c r="A143" s="28">
        <v>46043</v>
      </c>
      <c r="B143" s="29" t="s">
        <v>14</v>
      </c>
      <c r="C143" s="5" t="s">
        <v>103</v>
      </c>
      <c r="D143" s="30" t="s">
        <v>136</v>
      </c>
      <c r="E143" s="30">
        <v>110019396422</v>
      </c>
      <c r="F143" s="5">
        <v>9234531269</v>
      </c>
      <c r="G143" s="31">
        <v>0.366666666666667</v>
      </c>
      <c r="H143" s="31">
        <v>0.3875</v>
      </c>
      <c r="I143" s="48" t="s">
        <v>27</v>
      </c>
      <c r="J143" s="5">
        <v>1546</v>
      </c>
      <c r="K143" s="5">
        <v>1549</v>
      </c>
      <c r="L143" s="49" t="s">
        <v>52</v>
      </c>
      <c r="M143" s="5"/>
    </row>
    <row r="144" hidden="1" spans="1:13">
      <c r="A144" s="28"/>
      <c r="B144" s="5" t="s">
        <v>17</v>
      </c>
      <c r="C144" s="5" t="s">
        <v>48</v>
      </c>
      <c r="D144" s="30" t="s">
        <v>137</v>
      </c>
      <c r="E144" s="30">
        <v>110019392039</v>
      </c>
      <c r="F144" s="30">
        <v>7209847429</v>
      </c>
      <c r="G144" s="31">
        <v>0.365972222222222</v>
      </c>
      <c r="H144" s="31">
        <v>0.386805555555556</v>
      </c>
      <c r="I144" s="48" t="s">
        <v>27</v>
      </c>
      <c r="J144" s="5" t="s">
        <v>138</v>
      </c>
      <c r="K144" s="5" t="s">
        <v>139</v>
      </c>
      <c r="L144" s="49" t="s">
        <v>64</v>
      </c>
      <c r="M144" s="5"/>
    </row>
    <row r="145" hidden="1" spans="1:13">
      <c r="A145" s="28"/>
      <c r="B145" s="29" t="s">
        <v>18</v>
      </c>
      <c r="C145" s="5" t="s">
        <v>28</v>
      </c>
      <c r="D145" s="30" t="s">
        <v>140</v>
      </c>
      <c r="E145" s="30">
        <v>110019390560</v>
      </c>
      <c r="F145" s="5">
        <v>9234511399</v>
      </c>
      <c r="G145" s="31">
        <v>0.365277777777778</v>
      </c>
      <c r="H145" s="34">
        <v>0.3875</v>
      </c>
      <c r="I145" s="48" t="s">
        <v>59</v>
      </c>
      <c r="J145" s="20" t="s">
        <v>141</v>
      </c>
      <c r="K145" s="5" t="s">
        <v>142</v>
      </c>
      <c r="L145" s="49" t="s">
        <v>40</v>
      </c>
      <c r="M145" s="5"/>
    </row>
    <row r="146" hidden="1" spans="1:13">
      <c r="A146" s="28"/>
      <c r="B146" s="5" t="s">
        <v>14</v>
      </c>
      <c r="C146" s="5" t="s">
        <v>15</v>
      </c>
      <c r="D146" s="30" t="s">
        <v>16</v>
      </c>
      <c r="E146" s="30"/>
      <c r="F146" s="5"/>
      <c r="G146" s="31"/>
      <c r="H146" s="31"/>
      <c r="I146" s="48"/>
      <c r="J146" s="5"/>
      <c r="K146" s="5"/>
      <c r="L146" s="49"/>
      <c r="M146" s="5"/>
    </row>
    <row r="147" hidden="1" spans="1:13">
      <c r="A147" s="28"/>
      <c r="B147" s="29" t="s">
        <v>17</v>
      </c>
      <c r="C147" s="5" t="s">
        <v>15</v>
      </c>
      <c r="D147" s="30" t="s">
        <v>16</v>
      </c>
      <c r="E147" s="30"/>
      <c r="F147" s="30"/>
      <c r="G147" s="31"/>
      <c r="H147" s="32"/>
      <c r="I147" s="48"/>
      <c r="J147" s="5"/>
      <c r="K147" s="5"/>
      <c r="L147" s="49"/>
      <c r="M147" s="5"/>
    </row>
    <row r="148" hidden="1" spans="1:13">
      <c r="A148" s="28"/>
      <c r="B148" s="5" t="s">
        <v>18</v>
      </c>
      <c r="C148" s="5" t="s">
        <v>15</v>
      </c>
      <c r="D148" s="30" t="s">
        <v>16</v>
      </c>
      <c r="E148" s="30"/>
      <c r="F148" s="33"/>
      <c r="G148" s="31"/>
      <c r="H148" s="31"/>
      <c r="I148" s="48"/>
      <c r="J148" s="5"/>
      <c r="K148" s="5"/>
      <c r="L148" s="49"/>
      <c r="M148" s="5" t="s">
        <v>143</v>
      </c>
    </row>
    <row r="149" hidden="1" spans="1:13">
      <c r="A149" s="28"/>
      <c r="B149" s="5"/>
      <c r="C149" s="5"/>
      <c r="D149" s="30"/>
      <c r="E149" s="30"/>
      <c r="F149" s="30"/>
      <c r="G149" s="31"/>
      <c r="H149" s="31"/>
      <c r="I149" s="48"/>
      <c r="J149" s="5"/>
      <c r="K149" s="5"/>
      <c r="L149" s="49"/>
      <c r="M149" s="5"/>
    </row>
    <row r="150" hidden="1" spans="1:13">
      <c r="A150" s="28">
        <v>46044</v>
      </c>
      <c r="B150" s="29" t="s">
        <v>14</v>
      </c>
      <c r="C150" s="5" t="s">
        <v>103</v>
      </c>
      <c r="D150" s="30" t="s">
        <v>144</v>
      </c>
      <c r="E150" s="30">
        <v>110019414868</v>
      </c>
      <c r="F150" s="30">
        <v>7991178742</v>
      </c>
      <c r="G150" s="31">
        <v>0.364583333333333</v>
      </c>
      <c r="H150" s="31">
        <v>0.385416666666667</v>
      </c>
      <c r="I150" s="48" t="s">
        <v>27</v>
      </c>
      <c r="J150" s="5">
        <v>1549</v>
      </c>
      <c r="K150" s="5">
        <v>1554</v>
      </c>
      <c r="L150" s="49" t="s">
        <v>145</v>
      </c>
      <c r="M150" s="5"/>
    </row>
    <row r="151" hidden="1" spans="1:13">
      <c r="A151" s="28"/>
      <c r="B151" s="5" t="s">
        <v>17</v>
      </c>
      <c r="C151" s="5" t="s">
        <v>15</v>
      </c>
      <c r="D151" s="30" t="s">
        <v>126</v>
      </c>
      <c r="E151" s="30"/>
      <c r="F151" s="30"/>
      <c r="G151" s="31">
        <v>0.364583333333333</v>
      </c>
      <c r="H151" s="31"/>
      <c r="I151" s="48"/>
      <c r="J151" s="5" t="s">
        <v>139</v>
      </c>
      <c r="K151" s="5" t="s">
        <v>146</v>
      </c>
      <c r="L151" s="49" t="s">
        <v>64</v>
      </c>
      <c r="M151" s="5"/>
    </row>
    <row r="152" hidden="1" spans="1:13">
      <c r="A152" s="28"/>
      <c r="B152" s="5" t="s">
        <v>18</v>
      </c>
      <c r="C152" s="5" t="s">
        <v>28</v>
      </c>
      <c r="D152" s="30" t="s">
        <v>147</v>
      </c>
      <c r="E152" s="30">
        <v>110019413878</v>
      </c>
      <c r="F152" s="5">
        <v>9234511399</v>
      </c>
      <c r="G152" s="31">
        <v>0.363888888888889</v>
      </c>
      <c r="H152" s="34">
        <v>0.385416666666667</v>
      </c>
      <c r="I152" s="48" t="s">
        <v>32</v>
      </c>
      <c r="J152" s="50" t="s">
        <v>142</v>
      </c>
      <c r="K152" s="20" t="s">
        <v>148</v>
      </c>
      <c r="L152" s="49" t="s">
        <v>149</v>
      </c>
      <c r="M152" s="5"/>
    </row>
    <row r="153" hidden="1" spans="1:13">
      <c r="A153" s="28"/>
      <c r="B153" s="5" t="s">
        <v>35</v>
      </c>
      <c r="C153" s="5" t="s">
        <v>15</v>
      </c>
      <c r="D153" s="30" t="s">
        <v>16</v>
      </c>
      <c r="E153" s="30"/>
      <c r="F153" s="30"/>
      <c r="G153" s="31"/>
      <c r="H153" s="31"/>
      <c r="I153" s="48"/>
      <c r="J153" s="5"/>
      <c r="K153" s="5"/>
      <c r="L153" s="49"/>
      <c r="M153" s="5"/>
    </row>
    <row r="154" hidden="1" spans="1:13">
      <c r="A154" s="28"/>
      <c r="B154" s="29" t="s">
        <v>17</v>
      </c>
      <c r="C154" s="5" t="s">
        <v>15</v>
      </c>
      <c r="D154" s="30" t="s">
        <v>16</v>
      </c>
      <c r="E154" s="30"/>
      <c r="F154" s="30"/>
      <c r="G154" s="31"/>
      <c r="H154" s="31"/>
      <c r="I154" s="48"/>
      <c r="J154" s="7"/>
      <c r="K154" s="7"/>
      <c r="L154" s="49"/>
      <c r="M154" s="5"/>
    </row>
    <row r="155" hidden="1" spans="1:13">
      <c r="A155" s="28"/>
      <c r="B155" s="5" t="s">
        <v>18</v>
      </c>
      <c r="C155" s="5" t="s">
        <v>15</v>
      </c>
      <c r="D155" s="30" t="s">
        <v>16</v>
      </c>
      <c r="E155" s="30"/>
      <c r="F155" s="5"/>
      <c r="G155" s="31"/>
      <c r="H155" s="32"/>
      <c r="I155" s="48"/>
      <c r="J155" s="5"/>
      <c r="K155" s="5"/>
      <c r="L155" s="49"/>
      <c r="M155" s="5"/>
    </row>
    <row r="156" hidden="1" spans="1:13">
      <c r="A156" s="28"/>
      <c r="B156" s="5"/>
      <c r="C156" s="5"/>
      <c r="D156" s="30"/>
      <c r="E156" s="30"/>
      <c r="F156" s="30"/>
      <c r="G156" s="31"/>
      <c r="H156" s="31"/>
      <c r="I156" s="48"/>
      <c r="J156" s="5"/>
      <c r="K156" s="5"/>
      <c r="L156" s="49"/>
      <c r="M156" s="5"/>
    </row>
    <row r="157" hidden="1" spans="1:13">
      <c r="A157" s="28">
        <v>46045</v>
      </c>
      <c r="B157" s="29" t="s">
        <v>14</v>
      </c>
      <c r="C157" s="5" t="s">
        <v>103</v>
      </c>
      <c r="D157" s="30" t="s">
        <v>144</v>
      </c>
      <c r="E157" s="30">
        <v>110019431337</v>
      </c>
      <c r="F157" s="30">
        <v>7991178742</v>
      </c>
      <c r="G157" s="31">
        <v>0.371527777777778</v>
      </c>
      <c r="H157" s="31">
        <v>0.3875</v>
      </c>
      <c r="I157" s="48" t="s">
        <v>44</v>
      </c>
      <c r="J157" s="5">
        <v>1554</v>
      </c>
      <c r="K157" s="5">
        <v>1560</v>
      </c>
      <c r="L157" s="49" t="s">
        <v>150</v>
      </c>
      <c r="M157" s="5"/>
    </row>
    <row r="158" hidden="1" spans="1:13">
      <c r="A158" s="28"/>
      <c r="B158" s="5" t="s">
        <v>17</v>
      </c>
      <c r="C158" s="5" t="s">
        <v>15</v>
      </c>
      <c r="D158" s="30" t="s">
        <v>126</v>
      </c>
      <c r="E158" s="35"/>
      <c r="F158" s="30"/>
      <c r="G158" s="31">
        <v>0.371527777777778</v>
      </c>
      <c r="H158" s="31"/>
      <c r="I158" s="48"/>
      <c r="J158" s="7" t="s">
        <v>146</v>
      </c>
      <c r="K158" s="7" t="s">
        <v>146</v>
      </c>
      <c r="L158" s="49" t="s">
        <v>64</v>
      </c>
      <c r="M158" s="5"/>
    </row>
    <row r="159" hidden="1" spans="1:13">
      <c r="A159" s="28"/>
      <c r="B159" s="5" t="s">
        <v>18</v>
      </c>
      <c r="C159" s="5" t="s">
        <v>28</v>
      </c>
      <c r="D159" s="30" t="s">
        <v>147</v>
      </c>
      <c r="E159" s="36">
        <v>110019432773</v>
      </c>
      <c r="F159" s="5">
        <v>9234511399</v>
      </c>
      <c r="G159" s="31">
        <v>0.365277777777778</v>
      </c>
      <c r="H159" s="34">
        <v>0.388194444444444</v>
      </c>
      <c r="I159" s="48" t="s">
        <v>36</v>
      </c>
      <c r="J159" s="5" t="s">
        <v>148</v>
      </c>
      <c r="K159" s="20" t="s">
        <v>151</v>
      </c>
      <c r="L159" s="49" t="s">
        <v>47</v>
      </c>
      <c r="M159" s="5"/>
    </row>
    <row r="160" hidden="1" spans="1:13">
      <c r="A160" s="28"/>
      <c r="B160" s="5" t="s">
        <v>35</v>
      </c>
      <c r="C160" s="5" t="s">
        <v>15</v>
      </c>
      <c r="D160" s="30" t="s">
        <v>16</v>
      </c>
      <c r="E160" s="30"/>
      <c r="F160" s="5"/>
      <c r="G160" s="31"/>
      <c r="H160" s="31"/>
      <c r="I160" s="48"/>
      <c r="J160" s="20"/>
      <c r="K160" s="20"/>
      <c r="L160" s="49"/>
      <c r="M160" s="5"/>
    </row>
    <row r="161" hidden="1" spans="1:13">
      <c r="A161" s="28"/>
      <c r="B161" s="5" t="s">
        <v>17</v>
      </c>
      <c r="C161" s="5" t="s">
        <v>15</v>
      </c>
      <c r="D161" s="30" t="s">
        <v>16</v>
      </c>
      <c r="E161" s="30"/>
      <c r="F161" s="30"/>
      <c r="G161" s="31"/>
      <c r="H161" s="31"/>
      <c r="I161" s="48"/>
      <c r="J161" s="7"/>
      <c r="K161" s="7"/>
      <c r="L161" s="49"/>
      <c r="M161" s="5"/>
    </row>
    <row r="162" hidden="1" spans="1:13">
      <c r="A162" s="28"/>
      <c r="B162" s="5" t="s">
        <v>18</v>
      </c>
      <c r="C162" s="5" t="s">
        <v>15</v>
      </c>
      <c r="D162" s="30" t="s">
        <v>16</v>
      </c>
      <c r="E162" s="30"/>
      <c r="F162" s="33"/>
      <c r="G162" s="31"/>
      <c r="H162" s="31"/>
      <c r="I162" s="48"/>
      <c r="J162" s="5"/>
      <c r="K162" s="5"/>
      <c r="L162" s="49"/>
      <c r="M162" s="5"/>
    </row>
    <row r="163" hidden="1" spans="1:13">
      <c r="A163" s="28"/>
      <c r="B163" s="5"/>
      <c r="C163" s="5"/>
      <c r="D163" s="30"/>
      <c r="E163" s="30"/>
      <c r="F163" s="30"/>
      <c r="G163" s="31"/>
      <c r="H163" s="31"/>
      <c r="I163" s="48"/>
      <c r="J163" s="5"/>
      <c r="K163" s="5"/>
      <c r="L163" s="49"/>
      <c r="M163" s="5"/>
    </row>
    <row r="164" hidden="1" spans="1:13">
      <c r="A164" s="28">
        <v>46046</v>
      </c>
      <c r="B164" s="29" t="s">
        <v>14</v>
      </c>
      <c r="C164" s="5" t="s">
        <v>152</v>
      </c>
      <c r="D164" s="30" t="s">
        <v>153</v>
      </c>
      <c r="E164" s="30">
        <v>110019446349</v>
      </c>
      <c r="F164" s="5">
        <v>7368806032</v>
      </c>
      <c r="G164" s="31">
        <v>0.365972222222222</v>
      </c>
      <c r="H164" s="31">
        <v>0.386111111111111</v>
      </c>
      <c r="I164" s="48" t="s">
        <v>41</v>
      </c>
      <c r="J164" s="5">
        <v>1560</v>
      </c>
      <c r="K164" s="5">
        <v>1563</v>
      </c>
      <c r="L164" s="49" t="s">
        <v>52</v>
      </c>
      <c r="M164" s="5"/>
    </row>
    <row r="165" hidden="1" spans="1:13">
      <c r="A165" s="28"/>
      <c r="B165" s="5" t="s">
        <v>17</v>
      </c>
      <c r="C165" s="5" t="s">
        <v>152</v>
      </c>
      <c r="D165" s="30" t="s">
        <v>153</v>
      </c>
      <c r="E165" s="30">
        <v>110019446354</v>
      </c>
      <c r="F165" s="30">
        <v>7368806032</v>
      </c>
      <c r="G165" s="31">
        <v>0.371527777777778</v>
      </c>
      <c r="H165" s="31">
        <v>0.388194444444444</v>
      </c>
      <c r="I165" s="48" t="s">
        <v>57</v>
      </c>
      <c r="J165" s="7" t="s">
        <v>146</v>
      </c>
      <c r="K165" s="7" t="s">
        <v>154</v>
      </c>
      <c r="L165" s="49" t="s">
        <v>24</v>
      </c>
      <c r="M165" s="5"/>
    </row>
    <row r="166" hidden="1" spans="1:13">
      <c r="A166" s="28"/>
      <c r="B166" s="5" t="s">
        <v>18</v>
      </c>
      <c r="C166" s="5" t="s">
        <v>15</v>
      </c>
      <c r="D166" s="30" t="s">
        <v>16</v>
      </c>
      <c r="E166" s="30"/>
      <c r="F166" s="5"/>
      <c r="G166" s="31"/>
      <c r="H166" s="31"/>
      <c r="I166" s="48"/>
      <c r="J166" s="20"/>
      <c r="K166" s="20"/>
      <c r="L166" s="49"/>
      <c r="M166" s="5"/>
    </row>
    <row r="167" hidden="1" spans="1:13">
      <c r="A167" s="28"/>
      <c r="B167" s="5" t="s">
        <v>35</v>
      </c>
      <c r="C167" s="5" t="s">
        <v>15</v>
      </c>
      <c r="D167" s="30" t="s">
        <v>16</v>
      </c>
      <c r="E167" s="30"/>
      <c r="F167" s="5"/>
      <c r="G167" s="31"/>
      <c r="H167" s="32"/>
      <c r="I167" s="48"/>
      <c r="J167" s="5"/>
      <c r="K167" s="5"/>
      <c r="L167" s="49"/>
      <c r="M167" s="5"/>
    </row>
    <row r="168" hidden="1" spans="1:13">
      <c r="A168" s="28"/>
      <c r="B168" s="5" t="s">
        <v>17</v>
      </c>
      <c r="C168" s="5" t="s">
        <v>15</v>
      </c>
      <c r="D168" s="30" t="s">
        <v>16</v>
      </c>
      <c r="E168" s="30"/>
      <c r="F168" s="30"/>
      <c r="G168" s="31"/>
      <c r="H168" s="32"/>
      <c r="I168" s="48"/>
      <c r="J168" s="7"/>
      <c r="K168" s="7"/>
      <c r="L168" s="49"/>
      <c r="M168" s="5"/>
    </row>
    <row r="169" hidden="1" spans="1:13">
      <c r="A169" s="28"/>
      <c r="B169" s="5" t="s">
        <v>18</v>
      </c>
      <c r="C169" s="5" t="s">
        <v>15</v>
      </c>
      <c r="D169" s="30" t="s">
        <v>16</v>
      </c>
      <c r="E169" s="30"/>
      <c r="F169" s="33"/>
      <c r="G169" s="31"/>
      <c r="H169" s="31"/>
      <c r="I169" s="48"/>
      <c r="J169" s="5"/>
      <c r="K169" s="5"/>
      <c r="L169" s="49"/>
      <c r="M169" s="5"/>
    </row>
    <row r="170" hidden="1" spans="1:13">
      <c r="A170" s="28"/>
      <c r="B170" s="5"/>
      <c r="C170" s="5"/>
      <c r="D170" s="30"/>
      <c r="E170" s="30"/>
      <c r="F170" s="30"/>
      <c r="G170" s="31"/>
      <c r="H170" s="31"/>
      <c r="I170" s="48"/>
      <c r="J170" s="5"/>
      <c r="K170" s="5"/>
      <c r="L170" s="49"/>
      <c r="M170" s="5"/>
    </row>
    <row r="171" hidden="1" spans="1:13">
      <c r="A171" s="28">
        <v>46047</v>
      </c>
      <c r="B171" s="29" t="s">
        <v>14</v>
      </c>
      <c r="C171" s="5" t="s">
        <v>152</v>
      </c>
      <c r="D171" s="30" t="s">
        <v>155</v>
      </c>
      <c r="E171" s="30">
        <v>110019459566</v>
      </c>
      <c r="F171" s="5">
        <v>8388024242</v>
      </c>
      <c r="G171" s="31">
        <v>0.366666666666667</v>
      </c>
      <c r="H171" s="31">
        <v>0.386805555555556</v>
      </c>
      <c r="I171" s="48" t="s">
        <v>41</v>
      </c>
      <c r="J171" s="5">
        <v>1563</v>
      </c>
      <c r="K171" s="5">
        <v>1568</v>
      </c>
      <c r="L171" s="49" t="s">
        <v>145</v>
      </c>
      <c r="M171" s="5"/>
    </row>
    <row r="172" hidden="1" spans="1:13">
      <c r="A172" s="28"/>
      <c r="B172" s="5" t="s">
        <v>17</v>
      </c>
      <c r="C172" s="5" t="s">
        <v>15</v>
      </c>
      <c r="D172" s="30" t="s">
        <v>16</v>
      </c>
      <c r="E172" s="30"/>
      <c r="F172" s="30"/>
      <c r="G172" s="31"/>
      <c r="H172" s="31"/>
      <c r="I172" s="48"/>
      <c r="J172" s="7"/>
      <c r="K172" s="7"/>
      <c r="L172" s="49"/>
      <c r="M172" s="5"/>
    </row>
    <row r="173" hidden="1" spans="1:13">
      <c r="A173" s="28"/>
      <c r="B173" s="5" t="s">
        <v>18</v>
      </c>
      <c r="C173" s="5" t="s">
        <v>28</v>
      </c>
      <c r="D173" s="30" t="s">
        <v>147</v>
      </c>
      <c r="E173" s="52" t="s">
        <v>156</v>
      </c>
      <c r="F173" s="5">
        <v>9234511399</v>
      </c>
      <c r="G173" s="31">
        <v>0.364583333333333</v>
      </c>
      <c r="H173" s="53">
        <v>0.385416666666667</v>
      </c>
      <c r="I173" s="48" t="s">
        <v>27</v>
      </c>
      <c r="J173" s="20" t="s">
        <v>151</v>
      </c>
      <c r="K173" s="20" t="s">
        <v>157</v>
      </c>
      <c r="L173" s="49" t="s">
        <v>64</v>
      </c>
      <c r="M173" s="5"/>
    </row>
    <row r="174" hidden="1" spans="1:13">
      <c r="A174" s="28"/>
      <c r="B174" s="5" t="s">
        <v>35</v>
      </c>
      <c r="C174" s="5" t="s">
        <v>15</v>
      </c>
      <c r="D174" s="30" t="s">
        <v>16</v>
      </c>
      <c r="E174" s="30"/>
      <c r="F174" s="5"/>
      <c r="G174" s="39"/>
      <c r="H174" s="40"/>
      <c r="I174" s="51"/>
      <c r="J174" s="5"/>
      <c r="K174" s="5"/>
      <c r="L174" s="49"/>
      <c r="M174" s="5"/>
    </row>
    <row r="175" hidden="1" spans="1:13">
      <c r="A175" s="28"/>
      <c r="B175" s="5" t="s">
        <v>17</v>
      </c>
      <c r="C175" s="5" t="s">
        <v>15</v>
      </c>
      <c r="D175" s="30" t="s">
        <v>16</v>
      </c>
      <c r="E175" s="30"/>
      <c r="F175" s="30"/>
      <c r="G175" s="39"/>
      <c r="H175" s="40"/>
      <c r="I175" s="51"/>
      <c r="J175" s="7"/>
      <c r="K175" s="7"/>
      <c r="L175" s="49"/>
      <c r="M175" s="5"/>
    </row>
    <row r="176" hidden="1" spans="1:13">
      <c r="A176" s="28"/>
      <c r="B176" s="5" t="s">
        <v>18</v>
      </c>
      <c r="C176" s="5" t="s">
        <v>15</v>
      </c>
      <c r="D176" s="30" t="s">
        <v>16</v>
      </c>
      <c r="E176" s="30"/>
      <c r="F176" s="5"/>
      <c r="G176" s="39"/>
      <c r="H176" s="40"/>
      <c r="I176" s="51"/>
      <c r="J176" s="20"/>
      <c r="K176" s="20"/>
      <c r="L176" s="49"/>
      <c r="M176" s="5"/>
    </row>
    <row r="177" hidden="1" spans="1:13">
      <c r="A177" s="28"/>
      <c r="B177" s="5"/>
      <c r="C177" s="5"/>
      <c r="D177" s="30"/>
      <c r="E177" s="30"/>
      <c r="F177" s="30"/>
      <c r="G177" s="31"/>
      <c r="H177" s="45"/>
      <c r="I177" s="48"/>
      <c r="J177" s="5"/>
      <c r="K177" s="5"/>
      <c r="L177" s="49"/>
      <c r="M177" s="5"/>
    </row>
    <row r="178" hidden="1" spans="1:13">
      <c r="A178" s="28">
        <v>46048</v>
      </c>
      <c r="B178" s="29" t="s">
        <v>14</v>
      </c>
      <c r="C178" s="5" t="s">
        <v>15</v>
      </c>
      <c r="D178" s="30" t="s">
        <v>126</v>
      </c>
      <c r="E178" s="54"/>
      <c r="F178" s="5"/>
      <c r="G178" s="31">
        <v>0.367361111111111</v>
      </c>
      <c r="H178" s="31"/>
      <c r="I178" s="48"/>
      <c r="J178" s="5">
        <v>1568</v>
      </c>
      <c r="K178" s="5">
        <v>1568</v>
      </c>
      <c r="L178" s="49" t="s">
        <v>64</v>
      </c>
      <c r="M178" s="5"/>
    </row>
    <row r="179" hidden="1" spans="1:13">
      <c r="A179" s="28"/>
      <c r="B179" s="5" t="s">
        <v>17</v>
      </c>
      <c r="C179" s="5" t="s">
        <v>15</v>
      </c>
      <c r="D179" s="30" t="s">
        <v>16</v>
      </c>
      <c r="E179" s="30"/>
      <c r="F179" s="30"/>
      <c r="G179" s="31"/>
      <c r="H179" s="31"/>
      <c r="I179" s="48"/>
      <c r="J179" s="56"/>
      <c r="K179" s="56"/>
      <c r="L179" s="49"/>
      <c r="M179" s="5"/>
    </row>
    <row r="180" hidden="1" spans="1:13">
      <c r="A180" s="28"/>
      <c r="B180" s="5" t="s">
        <v>18</v>
      </c>
      <c r="C180" s="5" t="s">
        <v>28</v>
      </c>
      <c r="D180" s="30" t="s">
        <v>158</v>
      </c>
      <c r="E180" s="52" t="s">
        <v>159</v>
      </c>
      <c r="F180" s="5">
        <v>9279258957</v>
      </c>
      <c r="G180" s="31">
        <v>0.366666666666667</v>
      </c>
      <c r="H180" s="34">
        <v>0.386805555555556</v>
      </c>
      <c r="I180" s="57" t="s">
        <v>41</v>
      </c>
      <c r="J180" s="5" t="s">
        <v>157</v>
      </c>
      <c r="K180" s="5" t="s">
        <v>160</v>
      </c>
      <c r="L180" s="58" t="s">
        <v>64</v>
      </c>
      <c r="M180" s="5"/>
    </row>
    <row r="181" hidden="1" spans="1:13">
      <c r="A181" s="28"/>
      <c r="B181" s="5" t="s">
        <v>35</v>
      </c>
      <c r="C181" s="5" t="s">
        <v>15</v>
      </c>
      <c r="D181" s="30" t="s">
        <v>16</v>
      </c>
      <c r="E181" s="30"/>
      <c r="F181" s="5"/>
      <c r="G181" s="31"/>
      <c r="H181" s="38"/>
      <c r="I181" s="48"/>
      <c r="J181" s="59"/>
      <c r="K181" s="59"/>
      <c r="L181" s="49"/>
      <c r="M181" s="5"/>
    </row>
    <row r="182" hidden="1" spans="1:13">
      <c r="A182" s="28"/>
      <c r="B182" s="5" t="s">
        <v>17</v>
      </c>
      <c r="C182" s="5" t="s">
        <v>15</v>
      </c>
      <c r="D182" s="30" t="s">
        <v>16</v>
      </c>
      <c r="E182" s="30"/>
      <c r="F182" s="30"/>
      <c r="G182" s="39"/>
      <c r="H182" s="40"/>
      <c r="I182" s="51"/>
      <c r="J182" s="7"/>
      <c r="K182" s="7"/>
      <c r="L182" s="49"/>
      <c r="M182" s="5"/>
    </row>
    <row r="183" hidden="1" spans="1:13">
      <c r="A183" s="28"/>
      <c r="B183" s="5" t="s">
        <v>18</v>
      </c>
      <c r="C183" s="5" t="s">
        <v>15</v>
      </c>
      <c r="D183" s="30" t="s">
        <v>16</v>
      </c>
      <c r="E183" s="30"/>
      <c r="F183" s="5"/>
      <c r="G183" s="31"/>
      <c r="H183" s="32"/>
      <c r="I183" s="48"/>
      <c r="J183" s="20"/>
      <c r="K183" s="20"/>
      <c r="L183" s="49"/>
      <c r="M183" s="5"/>
    </row>
    <row r="184" hidden="1" spans="1:13">
      <c r="A184" s="28"/>
      <c r="B184" s="5"/>
      <c r="C184" s="5"/>
      <c r="D184" s="30"/>
      <c r="E184" s="30" t="s">
        <v>161</v>
      </c>
      <c r="F184" s="30"/>
      <c r="G184" s="31"/>
      <c r="H184" s="31"/>
      <c r="I184" s="48"/>
      <c r="J184" s="7"/>
      <c r="K184" s="7"/>
      <c r="L184" s="49"/>
      <c r="M184" s="5"/>
    </row>
    <row r="185" ht="13.9" hidden="1" customHeight="1" spans="1:14">
      <c r="A185" s="28">
        <v>46049</v>
      </c>
      <c r="B185" s="29" t="s">
        <v>14</v>
      </c>
      <c r="C185" s="5" t="s">
        <v>152</v>
      </c>
      <c r="D185" s="30" t="s">
        <v>155</v>
      </c>
      <c r="E185" s="30" t="s">
        <v>162</v>
      </c>
      <c r="F185" s="30">
        <v>8388024242</v>
      </c>
      <c r="G185" s="31">
        <v>0.364583333333333</v>
      </c>
      <c r="H185" s="31">
        <v>0.385416666666667</v>
      </c>
      <c r="I185" s="48" t="s">
        <v>27</v>
      </c>
      <c r="J185" s="49">
        <v>1568</v>
      </c>
      <c r="K185" s="7">
        <v>1573</v>
      </c>
      <c r="L185" s="7">
        <v>5</v>
      </c>
      <c r="M185" s="49"/>
      <c r="N185" s="5"/>
    </row>
    <row r="186" hidden="1" spans="1:13">
      <c r="A186" s="28"/>
      <c r="B186" s="5" t="s">
        <v>17</v>
      </c>
      <c r="C186" s="5" t="s">
        <v>15</v>
      </c>
      <c r="D186" s="30" t="s">
        <v>16</v>
      </c>
      <c r="E186" s="30"/>
      <c r="F186" s="30"/>
      <c r="G186" s="31"/>
      <c r="H186" s="31"/>
      <c r="I186" s="48"/>
      <c r="J186" s="56"/>
      <c r="K186" s="56"/>
      <c r="L186" s="49"/>
      <c r="M186" s="5"/>
    </row>
    <row r="187" hidden="1" spans="1:13">
      <c r="A187" s="28"/>
      <c r="B187" s="5" t="s">
        <v>18</v>
      </c>
      <c r="C187" s="5" t="s">
        <v>28</v>
      </c>
      <c r="D187" s="30" t="s">
        <v>158</v>
      </c>
      <c r="E187" s="30">
        <v>110019500211</v>
      </c>
      <c r="F187" s="5">
        <v>9279258957</v>
      </c>
      <c r="G187" s="31">
        <v>0.367361111111111</v>
      </c>
      <c r="H187" s="34">
        <v>0.385416666666667</v>
      </c>
      <c r="I187" s="57" t="s">
        <v>21</v>
      </c>
      <c r="J187" s="5" t="s">
        <v>160</v>
      </c>
      <c r="K187" s="5" t="s">
        <v>163</v>
      </c>
      <c r="L187" s="58" t="s">
        <v>47</v>
      </c>
      <c r="M187" s="5"/>
    </row>
    <row r="188" hidden="1" spans="1:13">
      <c r="A188" s="28"/>
      <c r="B188" s="5" t="s">
        <v>35</v>
      </c>
      <c r="C188" s="5" t="s">
        <v>15</v>
      </c>
      <c r="D188" s="30" t="s">
        <v>16</v>
      </c>
      <c r="E188" s="30"/>
      <c r="F188" s="5"/>
      <c r="G188" s="31"/>
      <c r="H188" s="38"/>
      <c r="I188" s="48"/>
      <c r="J188" s="59"/>
      <c r="K188" s="59"/>
      <c r="L188" s="49"/>
      <c r="M188" s="5"/>
    </row>
    <row r="189" hidden="1" spans="1:13">
      <c r="A189" s="28"/>
      <c r="B189" s="5" t="s">
        <v>17</v>
      </c>
      <c r="C189" s="5" t="s">
        <v>15</v>
      </c>
      <c r="D189" s="30" t="s">
        <v>16</v>
      </c>
      <c r="E189" s="30"/>
      <c r="F189" s="30"/>
      <c r="G189" s="39"/>
      <c r="H189" s="40"/>
      <c r="I189" s="51"/>
      <c r="J189" s="7"/>
      <c r="K189" s="7"/>
      <c r="L189" s="49"/>
      <c r="M189" s="5"/>
    </row>
    <row r="190" hidden="1" spans="1:13">
      <c r="A190" s="28"/>
      <c r="B190" s="5" t="s">
        <v>18</v>
      </c>
      <c r="C190" s="5" t="s">
        <v>15</v>
      </c>
      <c r="D190" s="30" t="s">
        <v>16</v>
      </c>
      <c r="E190" s="30"/>
      <c r="F190" s="33"/>
      <c r="G190" s="31"/>
      <c r="H190" s="32"/>
      <c r="I190" s="48"/>
      <c r="J190" s="7"/>
      <c r="K190" s="7"/>
      <c r="L190" s="49"/>
      <c r="M190" s="5"/>
    </row>
    <row r="191" hidden="1" spans="1:13">
      <c r="A191" s="28"/>
      <c r="B191" s="5"/>
      <c r="C191" s="5"/>
      <c r="D191" s="30"/>
      <c r="E191" s="30"/>
      <c r="F191" s="30"/>
      <c r="G191" s="31"/>
      <c r="H191" s="31"/>
      <c r="I191" s="48"/>
      <c r="J191" s="7"/>
      <c r="K191" s="7"/>
      <c r="L191" s="49"/>
      <c r="M191" s="5"/>
    </row>
    <row r="192" hidden="1" spans="1:13">
      <c r="A192" s="28">
        <v>46050</v>
      </c>
      <c r="B192" s="29" t="s">
        <v>14</v>
      </c>
      <c r="C192" s="5" t="s">
        <v>103</v>
      </c>
      <c r="D192" s="30" t="s">
        <v>164</v>
      </c>
      <c r="E192" s="30">
        <v>110019510585</v>
      </c>
      <c r="F192" s="5">
        <v>8252914585</v>
      </c>
      <c r="G192" s="31">
        <v>0.367361111111111</v>
      </c>
      <c r="H192" s="55">
        <v>0.886805555555556</v>
      </c>
      <c r="I192" s="48" t="s">
        <v>68</v>
      </c>
      <c r="J192" s="7">
        <v>1573</v>
      </c>
      <c r="K192" s="7">
        <v>1573</v>
      </c>
      <c r="L192" s="49" t="s">
        <v>123</v>
      </c>
      <c r="M192" s="5"/>
    </row>
    <row r="193" hidden="1" spans="1:13">
      <c r="A193" s="28"/>
      <c r="B193" s="5" t="s">
        <v>17</v>
      </c>
      <c r="C193" s="5" t="s">
        <v>15</v>
      </c>
      <c r="D193" s="30" t="s">
        <v>16</v>
      </c>
      <c r="E193" s="30"/>
      <c r="F193" s="30"/>
      <c r="G193" s="31"/>
      <c r="H193" s="31"/>
      <c r="I193" s="48"/>
      <c r="J193" s="56"/>
      <c r="K193" s="56"/>
      <c r="L193" s="49"/>
      <c r="M193" s="5"/>
    </row>
    <row r="194" hidden="1" spans="1:13">
      <c r="A194" s="28"/>
      <c r="B194" s="5" t="s">
        <v>18</v>
      </c>
      <c r="C194" s="5" t="s">
        <v>28</v>
      </c>
      <c r="D194" s="30" t="s">
        <v>158</v>
      </c>
      <c r="E194" s="30">
        <v>110019510760</v>
      </c>
      <c r="F194" s="5">
        <v>9279258957</v>
      </c>
      <c r="G194" s="31">
        <v>0.357638888888889</v>
      </c>
      <c r="H194" s="34">
        <v>0.368055555555556</v>
      </c>
      <c r="I194" s="57" t="s">
        <v>86</v>
      </c>
      <c r="J194" s="7" t="s">
        <v>163</v>
      </c>
      <c r="K194" s="7" t="s">
        <v>165</v>
      </c>
      <c r="L194" s="58" t="s">
        <v>64</v>
      </c>
      <c r="M194" s="5"/>
    </row>
    <row r="195" hidden="1" spans="1:13">
      <c r="A195" s="28"/>
      <c r="B195" s="5"/>
      <c r="C195" s="5"/>
      <c r="D195" s="30"/>
      <c r="E195" s="30" t="s">
        <v>166</v>
      </c>
      <c r="F195" s="5"/>
      <c r="G195" s="31"/>
      <c r="H195" s="31"/>
      <c r="I195" s="48"/>
      <c r="J195" s="59"/>
      <c r="K195" s="59"/>
      <c r="L195" s="49"/>
      <c r="M195" s="5"/>
    </row>
    <row r="196" hidden="1" spans="1:13">
      <c r="A196" s="28"/>
      <c r="B196" s="5" t="s">
        <v>14</v>
      </c>
      <c r="C196" s="5" t="s">
        <v>15</v>
      </c>
      <c r="D196" s="30" t="s">
        <v>16</v>
      </c>
      <c r="E196" s="30"/>
      <c r="F196" s="30"/>
      <c r="G196" s="31"/>
      <c r="H196" s="32"/>
      <c r="I196" s="48"/>
      <c r="J196" s="7"/>
      <c r="K196" s="7"/>
      <c r="L196" s="49"/>
      <c r="M196" s="5"/>
    </row>
    <row r="197" hidden="1" spans="1:13">
      <c r="A197" s="28"/>
      <c r="B197" s="5" t="s">
        <v>17</v>
      </c>
      <c r="C197" s="5" t="s">
        <v>15</v>
      </c>
      <c r="D197" s="30" t="s">
        <v>16</v>
      </c>
      <c r="E197" s="30"/>
      <c r="F197" s="33"/>
      <c r="G197" s="31"/>
      <c r="H197" s="32"/>
      <c r="I197" s="48"/>
      <c r="J197" s="7"/>
      <c r="K197" s="7"/>
      <c r="L197" s="49"/>
      <c r="M197" s="5"/>
    </row>
    <row r="198" hidden="1" spans="1:13">
      <c r="A198" s="28"/>
      <c r="B198" s="5" t="s">
        <v>18</v>
      </c>
      <c r="C198" s="5" t="s">
        <v>15</v>
      </c>
      <c r="D198" s="30" t="s">
        <v>16</v>
      </c>
      <c r="E198" s="41"/>
      <c r="F198" s="30"/>
      <c r="G198" s="31"/>
      <c r="H198" s="31"/>
      <c r="I198" s="48"/>
      <c r="J198" s="7"/>
      <c r="K198" s="7"/>
      <c r="L198" s="49"/>
      <c r="M198" s="5"/>
    </row>
    <row r="199" hidden="1" spans="1:13">
      <c r="A199" s="28">
        <v>46051</v>
      </c>
      <c r="B199" s="29" t="s">
        <v>14</v>
      </c>
      <c r="C199" s="5" t="s">
        <v>103</v>
      </c>
      <c r="D199" s="42" t="s">
        <v>164</v>
      </c>
      <c r="E199" s="30">
        <v>110019527398</v>
      </c>
      <c r="F199" s="43">
        <v>8252914585</v>
      </c>
      <c r="G199" s="31">
        <v>0.365277777777778</v>
      </c>
      <c r="H199" s="55">
        <v>0.886111111111111</v>
      </c>
      <c r="I199" s="48" t="s">
        <v>27</v>
      </c>
      <c r="J199" s="7">
        <v>1573</v>
      </c>
      <c r="K199" s="7">
        <v>1576</v>
      </c>
      <c r="L199" s="49" t="s">
        <v>52</v>
      </c>
      <c r="M199" s="5"/>
    </row>
    <row r="200" hidden="1" spans="1:13">
      <c r="A200" s="28"/>
      <c r="B200" s="5" t="s">
        <v>17</v>
      </c>
      <c r="C200" s="5" t="s">
        <v>15</v>
      </c>
      <c r="D200" s="30" t="s">
        <v>16</v>
      </c>
      <c r="E200" s="36"/>
      <c r="F200" s="30"/>
      <c r="G200" s="31"/>
      <c r="H200" s="32"/>
      <c r="I200" s="48"/>
      <c r="J200" s="7"/>
      <c r="K200" s="7"/>
      <c r="L200" s="49"/>
      <c r="M200" s="5"/>
    </row>
    <row r="201" hidden="1" spans="1:13">
      <c r="A201" s="28"/>
      <c r="B201" s="5" t="s">
        <v>18</v>
      </c>
      <c r="C201" s="5" t="s">
        <v>19</v>
      </c>
      <c r="D201" s="30" t="s">
        <v>20</v>
      </c>
      <c r="E201" s="36">
        <v>110019526370</v>
      </c>
      <c r="F201" s="30">
        <v>9252290436</v>
      </c>
      <c r="G201" s="31">
        <v>0.367361111111111</v>
      </c>
      <c r="H201" s="32">
        <v>0.886805555555556</v>
      </c>
      <c r="I201" s="48" t="s">
        <v>68</v>
      </c>
      <c r="J201" s="20" t="s">
        <v>165</v>
      </c>
      <c r="K201" s="20" t="s">
        <v>167</v>
      </c>
      <c r="L201" s="49" t="s">
        <v>89</v>
      </c>
      <c r="M201" s="5"/>
    </row>
    <row r="202" hidden="1" spans="1:13">
      <c r="A202" s="28"/>
      <c r="B202" s="5" t="s">
        <v>35</v>
      </c>
      <c r="C202" s="5" t="s">
        <v>15</v>
      </c>
      <c r="D202" s="42" t="s">
        <v>16</v>
      </c>
      <c r="E202" s="30"/>
      <c r="F202" s="5"/>
      <c r="G202" s="31"/>
      <c r="H202" s="31"/>
      <c r="I202" s="48"/>
      <c r="J202" s="7"/>
      <c r="K202" s="7"/>
      <c r="L202" s="49"/>
      <c r="M202" s="5"/>
    </row>
    <row r="203" hidden="1" spans="1:13">
      <c r="A203" s="28"/>
      <c r="B203" s="5" t="s">
        <v>17</v>
      </c>
      <c r="C203" s="5" t="s">
        <v>15</v>
      </c>
      <c r="D203" s="30" t="s">
        <v>16</v>
      </c>
      <c r="E203" s="30"/>
      <c r="F203" s="30"/>
      <c r="G203" s="31"/>
      <c r="H203" s="32"/>
      <c r="I203" s="48"/>
      <c r="J203" s="7"/>
      <c r="K203" s="7"/>
      <c r="L203" s="49"/>
      <c r="M203" s="5"/>
    </row>
    <row r="204" hidden="1" spans="1:13">
      <c r="A204" s="28"/>
      <c r="B204" s="5" t="s">
        <v>18</v>
      </c>
      <c r="C204" s="5" t="s">
        <v>15</v>
      </c>
      <c r="D204" s="30" t="s">
        <v>16</v>
      </c>
      <c r="E204" s="30"/>
      <c r="F204" s="33"/>
      <c r="G204" s="31"/>
      <c r="H204" s="31"/>
      <c r="I204" s="48"/>
      <c r="J204" s="7"/>
      <c r="K204" s="7"/>
      <c r="L204" s="49"/>
      <c r="M204" s="5"/>
    </row>
    <row r="205" hidden="1" spans="1:13">
      <c r="A205" s="28"/>
      <c r="B205" s="5"/>
      <c r="C205" s="5"/>
      <c r="D205" s="30"/>
      <c r="E205" s="30"/>
      <c r="F205" s="30"/>
      <c r="G205" s="31"/>
      <c r="H205" s="31"/>
      <c r="I205" s="48"/>
      <c r="J205" s="7"/>
      <c r="K205" s="7"/>
      <c r="L205" s="49"/>
      <c r="M205" s="5"/>
    </row>
    <row r="206" hidden="1" spans="1:13">
      <c r="A206" s="28">
        <v>46052</v>
      </c>
      <c r="B206" s="29" t="s">
        <v>14</v>
      </c>
      <c r="C206" s="5" t="s">
        <v>103</v>
      </c>
      <c r="D206" s="30" t="s">
        <v>164</v>
      </c>
      <c r="E206" s="30">
        <v>110019551527</v>
      </c>
      <c r="F206" s="5">
        <v>825914585</v>
      </c>
      <c r="G206" s="31">
        <v>0.357638888888889</v>
      </c>
      <c r="H206" s="31">
        <v>0.368055555555556</v>
      </c>
      <c r="I206" s="48" t="s">
        <v>86</v>
      </c>
      <c r="J206" s="7">
        <v>1576</v>
      </c>
      <c r="K206" s="7">
        <v>1580</v>
      </c>
      <c r="L206" s="49" t="s">
        <v>81</v>
      </c>
      <c r="M206" s="5"/>
    </row>
    <row r="207" hidden="1" spans="1:13">
      <c r="A207" s="28"/>
      <c r="B207" s="5" t="s">
        <v>17</v>
      </c>
      <c r="C207" s="5" t="s">
        <v>15</v>
      </c>
      <c r="D207" s="30" t="s">
        <v>16</v>
      </c>
      <c r="E207" s="30"/>
      <c r="F207" s="30"/>
      <c r="G207" s="31"/>
      <c r="H207" s="31"/>
      <c r="I207" s="48"/>
      <c r="J207" s="7"/>
      <c r="K207" s="7"/>
      <c r="L207" s="49"/>
      <c r="M207" s="5"/>
    </row>
    <row r="208" hidden="1" spans="1:13">
      <c r="A208" s="28"/>
      <c r="B208" s="5" t="s">
        <v>18</v>
      </c>
      <c r="C208" s="5" t="s">
        <v>19</v>
      </c>
      <c r="D208" s="30" t="s">
        <v>20</v>
      </c>
      <c r="E208" s="30">
        <v>110019545442</v>
      </c>
      <c r="F208" s="5">
        <v>9262290436</v>
      </c>
      <c r="G208" s="31">
        <v>0.371527777777778</v>
      </c>
      <c r="H208" s="31">
        <v>0.385416666666667</v>
      </c>
      <c r="I208" s="48" t="s">
        <v>87</v>
      </c>
      <c r="J208" s="18" t="s">
        <v>167</v>
      </c>
      <c r="K208" s="7" t="s">
        <v>168</v>
      </c>
      <c r="L208" s="49" t="s">
        <v>40</v>
      </c>
      <c r="M208" s="5"/>
    </row>
    <row r="209" hidden="1" spans="1:13">
      <c r="A209" s="28"/>
      <c r="B209" s="5" t="s">
        <v>35</v>
      </c>
      <c r="C209" s="5" t="s">
        <v>15</v>
      </c>
      <c r="D209" s="30" t="s">
        <v>16</v>
      </c>
      <c r="E209" s="30"/>
      <c r="F209" s="5"/>
      <c r="G209" s="31"/>
      <c r="H209" s="31"/>
      <c r="I209" s="48"/>
      <c r="J209" s="7"/>
      <c r="K209" s="7"/>
      <c r="L209" s="49"/>
      <c r="M209" s="5"/>
    </row>
    <row r="210" hidden="1" spans="1:13">
      <c r="A210" s="28"/>
      <c r="B210" s="5" t="s">
        <v>17</v>
      </c>
      <c r="C210" s="5" t="s">
        <v>15</v>
      </c>
      <c r="D210" s="30" t="s">
        <v>16</v>
      </c>
      <c r="E210" s="30"/>
      <c r="F210" s="30"/>
      <c r="G210" s="31"/>
      <c r="H210" s="32"/>
      <c r="I210" s="48"/>
      <c r="J210" s="7"/>
      <c r="K210" s="7"/>
      <c r="L210" s="49"/>
      <c r="M210" s="5"/>
    </row>
    <row r="211" hidden="1" spans="1:13">
      <c r="A211" s="28"/>
      <c r="B211" s="5" t="s">
        <v>18</v>
      </c>
      <c r="C211" s="5" t="s">
        <v>15</v>
      </c>
      <c r="D211" s="30" t="s">
        <v>16</v>
      </c>
      <c r="E211" s="30"/>
      <c r="F211" s="33"/>
      <c r="G211" s="31"/>
      <c r="H211" s="31"/>
      <c r="I211" s="48"/>
      <c r="J211" s="7"/>
      <c r="K211" s="7"/>
      <c r="L211" s="49"/>
      <c r="M211" s="5"/>
    </row>
    <row r="212" hidden="1" spans="1:13">
      <c r="A212" s="28"/>
      <c r="B212" s="5"/>
      <c r="C212" s="5"/>
      <c r="D212" s="30"/>
      <c r="E212" s="30"/>
      <c r="F212" s="30"/>
      <c r="G212" s="31"/>
      <c r="H212" s="31"/>
      <c r="I212" s="48"/>
      <c r="J212" s="7"/>
      <c r="K212" s="7"/>
      <c r="L212" s="49"/>
      <c r="M212" s="5"/>
    </row>
    <row r="213" hidden="1" spans="1:13">
      <c r="A213" s="28">
        <v>46053</v>
      </c>
      <c r="B213" s="29" t="s">
        <v>14</v>
      </c>
      <c r="C213" s="5" t="s">
        <v>169</v>
      </c>
      <c r="D213" s="30" t="s">
        <v>170</v>
      </c>
      <c r="E213" s="30">
        <v>110019564332</v>
      </c>
      <c r="F213" s="5">
        <v>7258989903</v>
      </c>
      <c r="G213" s="31">
        <v>0.365277777777778</v>
      </c>
      <c r="H213" s="32">
        <v>0.886805555555556</v>
      </c>
      <c r="I213" s="48" t="s">
        <v>32</v>
      </c>
      <c r="J213" s="7">
        <v>1580</v>
      </c>
      <c r="K213" s="7">
        <v>1582</v>
      </c>
      <c r="L213" s="49" t="s">
        <v>45</v>
      </c>
      <c r="M213" s="5"/>
    </row>
    <row r="214" spans="1:13">
      <c r="A214" s="28"/>
      <c r="B214" s="5" t="s">
        <v>17</v>
      </c>
      <c r="C214" s="5" t="s">
        <v>28</v>
      </c>
      <c r="D214" s="30" t="s">
        <v>171</v>
      </c>
      <c r="E214" s="30">
        <v>110019568477</v>
      </c>
      <c r="F214" s="30">
        <v>9279258957</v>
      </c>
      <c r="G214" s="31">
        <v>0.366666666666667</v>
      </c>
      <c r="H214" s="34">
        <v>0.3875</v>
      </c>
      <c r="I214" s="48" t="s">
        <v>27</v>
      </c>
      <c r="J214" s="7" t="s">
        <v>168</v>
      </c>
      <c r="K214" s="7" t="s">
        <v>172</v>
      </c>
      <c r="L214" s="49" t="s">
        <v>24</v>
      </c>
      <c r="M214" s="5"/>
    </row>
    <row r="215" hidden="1" spans="1:13">
      <c r="A215" s="28"/>
      <c r="B215" s="5" t="s">
        <v>18</v>
      </c>
      <c r="C215" s="5" t="s">
        <v>15</v>
      </c>
      <c r="D215" s="30" t="s">
        <v>16</v>
      </c>
      <c r="E215" s="30"/>
      <c r="F215" s="5"/>
      <c r="G215" s="31"/>
      <c r="H215" s="31"/>
      <c r="I215" s="48"/>
      <c r="J215" s="18"/>
      <c r="K215" s="18"/>
      <c r="L215" s="49"/>
      <c r="M215" s="5"/>
    </row>
    <row r="216" hidden="1" spans="1:13">
      <c r="A216" s="28"/>
      <c r="B216" s="5" t="s">
        <v>35</v>
      </c>
      <c r="C216" s="5" t="s">
        <v>15</v>
      </c>
      <c r="D216" s="30" t="s">
        <v>16</v>
      </c>
      <c r="E216" s="30"/>
      <c r="F216" s="5"/>
      <c r="G216" s="31"/>
      <c r="H216" s="31"/>
      <c r="I216" s="48"/>
      <c r="J216" s="7"/>
      <c r="K216" s="7"/>
      <c r="L216" s="49"/>
      <c r="M216" s="5"/>
    </row>
    <row r="217" hidden="1" spans="1:13">
      <c r="A217" s="28"/>
      <c r="B217" s="5" t="s">
        <v>17</v>
      </c>
      <c r="C217" s="5" t="s">
        <v>15</v>
      </c>
      <c r="D217" s="30" t="s">
        <v>16</v>
      </c>
      <c r="E217" s="30"/>
      <c r="F217" s="30"/>
      <c r="G217" s="31"/>
      <c r="H217" s="32"/>
      <c r="I217" s="48"/>
      <c r="J217" s="7"/>
      <c r="K217" s="7"/>
      <c r="L217" s="49"/>
      <c r="M217" s="5"/>
    </row>
    <row r="218" hidden="1" spans="1:13">
      <c r="A218" s="28"/>
      <c r="B218" s="5" t="s">
        <v>18</v>
      </c>
      <c r="C218" s="5" t="s">
        <v>28</v>
      </c>
      <c r="D218" s="30" t="s">
        <v>83</v>
      </c>
      <c r="E218" s="30">
        <v>11001957999</v>
      </c>
      <c r="F218" s="49">
        <v>9279258957</v>
      </c>
      <c r="G218" s="31">
        <v>0.865972222222222</v>
      </c>
      <c r="H218" s="32">
        <v>0.888194444444444</v>
      </c>
      <c r="I218" s="48" t="s">
        <v>59</v>
      </c>
      <c r="J218" s="7" t="s">
        <v>168</v>
      </c>
      <c r="K218" s="7" t="s">
        <v>172</v>
      </c>
      <c r="L218" s="49" t="s">
        <v>24</v>
      </c>
      <c r="M218" s="5"/>
    </row>
    <row r="219" hidden="1" spans="1:13">
      <c r="A219" s="28"/>
      <c r="B219" s="5"/>
      <c r="C219" s="5"/>
      <c r="D219" s="30"/>
      <c r="E219" s="30"/>
      <c r="F219" s="30"/>
      <c r="G219" s="31"/>
      <c r="H219" s="31"/>
      <c r="I219" s="48"/>
      <c r="J219" s="7"/>
      <c r="K219" s="7"/>
      <c r="L219" s="49"/>
      <c r="M219" s="5"/>
    </row>
    <row r="221" spans="9:10">
      <c r="I221">
        <v>4</v>
      </c>
      <c r="J221">
        <v>3.5</v>
      </c>
    </row>
  </sheetData>
  <autoFilter xmlns:etc="http://www.wps.cn/officeDocument/2017/etCustomData" ref="A2:M219" etc:filterBottomFollowUsedRange="0">
    <filterColumn colId="1">
      <customFilters>
        <customFilter operator="equal" val="300T-1"/>
      </customFilters>
    </filterColumn>
    <filterColumn colId="2">
      <customFilters>
        <customFilter operator="equal" val="SP#2"/>
      </customFilters>
    </filterColumn>
    <extLst/>
  </autoFilter>
  <mergeCells count="32">
    <mergeCell ref="A1:M1"/>
    <mergeCell ref="A3:A9"/>
    <mergeCell ref="A10:A16"/>
    <mergeCell ref="A17:A23"/>
    <mergeCell ref="A24:A30"/>
    <mergeCell ref="A31:A37"/>
    <mergeCell ref="A38:A44"/>
    <mergeCell ref="A45:A51"/>
    <mergeCell ref="A52:A58"/>
    <mergeCell ref="A59:A65"/>
    <mergeCell ref="A66:A72"/>
    <mergeCell ref="A73:A79"/>
    <mergeCell ref="A80:A86"/>
    <mergeCell ref="A87:A93"/>
    <mergeCell ref="A94:A100"/>
    <mergeCell ref="A101:A107"/>
    <mergeCell ref="A108:A114"/>
    <mergeCell ref="A115:A121"/>
    <mergeCell ref="A122:A128"/>
    <mergeCell ref="A129:A135"/>
    <mergeCell ref="A136:A142"/>
    <mergeCell ref="A143:A149"/>
    <mergeCell ref="A150:A156"/>
    <mergeCell ref="A157:A163"/>
    <mergeCell ref="A164:A170"/>
    <mergeCell ref="A171:A177"/>
    <mergeCell ref="A178:A184"/>
    <mergeCell ref="A185:A191"/>
    <mergeCell ref="A192:A198"/>
    <mergeCell ref="A199:A205"/>
    <mergeCell ref="A206:A212"/>
    <mergeCell ref="A213:A219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tabSelected="1" workbookViewId="0">
      <selection activeCell="M11" sqref="M11"/>
    </sheetView>
  </sheetViews>
  <sheetFormatPr defaultColWidth="9" defaultRowHeight="14.4"/>
  <cols>
    <col min="1" max="1" width="5.78378378378378" customWidth="1"/>
    <col min="2" max="2" width="15.7657657657658" customWidth="1"/>
    <col min="3" max="3" width="16.1711711711712" customWidth="1"/>
    <col min="4" max="4" width="6.59459459459459" customWidth="1"/>
    <col min="5" max="5" width="8.09009009009009" customWidth="1"/>
    <col min="6" max="6" width="5.59459459459459" customWidth="1"/>
    <col min="7" max="7" width="9.09009009009009" customWidth="1"/>
    <col min="8" max="8" width="5.59459459459459" customWidth="1"/>
    <col min="9" max="9" width="8.09009009009009" customWidth="1"/>
    <col min="10" max="10" width="6.59459459459459" customWidth="1"/>
    <col min="11" max="11" width="9.09009009009009" customWidth="1"/>
    <col min="12" max="12" width="6.59459459459459" customWidth="1"/>
    <col min="13" max="13" width="8.58558558558559" customWidth="1"/>
    <col min="14" max="14" width="5.59459459459459" customWidth="1"/>
    <col min="15" max="15" width="13.5765765765766" customWidth="1"/>
    <col min="16" max="16" width="5.59459459459459" customWidth="1"/>
    <col min="17" max="17" width="10.6756756756757" customWidth="1"/>
    <col min="18" max="18" width="12.3693693693694" customWidth="1"/>
  </cols>
  <sheetData>
    <row r="1" spans="1:17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174</v>
      </c>
      <c r="B3" s="2" t="s">
        <v>175</v>
      </c>
      <c r="C3" s="2" t="s">
        <v>176</v>
      </c>
      <c r="D3" s="3"/>
      <c r="E3" s="3"/>
      <c r="F3" s="3"/>
      <c r="G3" s="3"/>
      <c r="H3" s="3"/>
      <c r="I3" s="3"/>
      <c r="J3" s="3"/>
      <c r="K3" s="3"/>
      <c r="L3" s="12" t="s">
        <v>177</v>
      </c>
      <c r="M3" s="13"/>
      <c r="N3" s="14"/>
      <c r="O3" s="15"/>
      <c r="P3" s="15"/>
      <c r="Q3" s="19"/>
    </row>
    <row r="4" spans="1:18">
      <c r="A4" s="4"/>
      <c r="B4" s="4"/>
      <c r="C4" s="4"/>
      <c r="D4" s="4" t="s">
        <v>178</v>
      </c>
      <c r="E4" s="4" t="s">
        <v>179</v>
      </c>
      <c r="F4" s="4" t="s">
        <v>180</v>
      </c>
      <c r="G4" s="4" t="s">
        <v>179</v>
      </c>
      <c r="H4" s="4" t="s">
        <v>181</v>
      </c>
      <c r="I4" s="4" t="s">
        <v>179</v>
      </c>
      <c r="J4" s="4" t="s">
        <v>182</v>
      </c>
      <c r="K4" s="4" t="s">
        <v>183</v>
      </c>
      <c r="L4" s="4" t="s">
        <v>184</v>
      </c>
      <c r="M4" s="4" t="s">
        <v>183</v>
      </c>
      <c r="N4" s="16" t="s">
        <v>178</v>
      </c>
      <c r="O4" s="16" t="s">
        <v>185</v>
      </c>
      <c r="P4" s="16" t="s">
        <v>186</v>
      </c>
      <c r="Q4" s="16" t="s">
        <v>183</v>
      </c>
      <c r="R4" s="20" t="s">
        <v>187</v>
      </c>
    </row>
    <row r="5" spans="1:18">
      <c r="A5" s="5">
        <v>1</v>
      </c>
      <c r="B5" s="6" t="s">
        <v>188</v>
      </c>
      <c r="C5" s="7" t="s">
        <v>189</v>
      </c>
      <c r="D5" s="7">
        <v>0</v>
      </c>
      <c r="E5" s="8">
        <f>D5*2564.1</f>
        <v>0</v>
      </c>
      <c r="F5" s="7">
        <v>7.49</v>
      </c>
      <c r="G5" s="9">
        <f>F5*1602.56</f>
        <v>12003.1744</v>
      </c>
      <c r="H5" s="7">
        <v>1.04</v>
      </c>
      <c r="I5" s="9">
        <f>H5*1362.18</f>
        <v>1416.6672</v>
      </c>
      <c r="J5" s="7">
        <v>9</v>
      </c>
      <c r="K5" s="9">
        <f>J5*1442.31</f>
        <v>12980.79</v>
      </c>
      <c r="L5" s="7">
        <v>8</v>
      </c>
      <c r="M5" s="7">
        <f>L5*1350</f>
        <v>10800</v>
      </c>
      <c r="N5" s="7">
        <v>2</v>
      </c>
      <c r="O5" s="7">
        <f>N5*2628</f>
        <v>5256</v>
      </c>
      <c r="P5" s="7">
        <v>0</v>
      </c>
      <c r="Q5" s="21">
        <f>P5*4247</f>
        <v>0</v>
      </c>
      <c r="R5" s="22">
        <f>Q5+O5+M5+K5+I5+G5+E5</f>
        <v>42456.6316</v>
      </c>
    </row>
    <row r="6" spans="1:18">
      <c r="A6" s="5">
        <v>2</v>
      </c>
      <c r="B6" s="6" t="s">
        <v>190</v>
      </c>
      <c r="C6" s="5" t="s">
        <v>191</v>
      </c>
      <c r="D6" s="5">
        <v>0</v>
      </c>
      <c r="E6" s="8">
        <f t="shared" ref="E6:E22" si="0">D6*2564.1</f>
        <v>0</v>
      </c>
      <c r="F6" s="5">
        <v>4.11</v>
      </c>
      <c r="G6" s="9">
        <f t="shared" ref="G6:G22" si="1">F6*1602.56</f>
        <v>6586.5216</v>
      </c>
      <c r="H6" s="5">
        <v>1.98</v>
      </c>
      <c r="I6" s="9">
        <f t="shared" ref="I6:I22" si="2">H6*1362.18</f>
        <v>2697.1164</v>
      </c>
      <c r="J6" s="5">
        <v>1.45</v>
      </c>
      <c r="K6" s="9">
        <f t="shared" ref="K6:K22" si="3">J6*1442.31</f>
        <v>2091.3495</v>
      </c>
      <c r="L6" s="5">
        <v>12</v>
      </c>
      <c r="M6" s="7">
        <f t="shared" ref="M6:M22" si="4">L6*1350</f>
        <v>16200</v>
      </c>
      <c r="N6" s="7">
        <v>3.75</v>
      </c>
      <c r="O6" s="7">
        <f t="shared" ref="O6:O22" si="5">N6*2628</f>
        <v>9855</v>
      </c>
      <c r="P6" s="7">
        <v>0.75</v>
      </c>
      <c r="Q6" s="21">
        <f t="shared" ref="Q6:Q22" si="6">P6*4247</f>
        <v>3185.25</v>
      </c>
      <c r="R6" s="22">
        <f t="shared" ref="R6:R22" si="7">Q6+O6+M6+K6+I6+G6+E6</f>
        <v>40615.2375</v>
      </c>
    </row>
    <row r="7" spans="1:18">
      <c r="A7" s="5">
        <v>3</v>
      </c>
      <c r="B7" s="6" t="s">
        <v>121</v>
      </c>
      <c r="C7" s="7" t="s">
        <v>192</v>
      </c>
      <c r="D7" s="7">
        <v>0</v>
      </c>
      <c r="E7" s="8">
        <f t="shared" si="0"/>
        <v>0</v>
      </c>
      <c r="F7" s="7">
        <v>0</v>
      </c>
      <c r="G7" s="9">
        <f t="shared" si="1"/>
        <v>0</v>
      </c>
      <c r="H7" s="7">
        <v>0</v>
      </c>
      <c r="I7" s="9">
        <f t="shared" si="2"/>
        <v>0</v>
      </c>
      <c r="J7" s="7">
        <v>1.42</v>
      </c>
      <c r="K7" s="9">
        <f t="shared" si="3"/>
        <v>2048.0802</v>
      </c>
      <c r="L7" s="7">
        <v>0.5</v>
      </c>
      <c r="M7" s="7">
        <f t="shared" si="4"/>
        <v>675</v>
      </c>
      <c r="N7" s="7">
        <v>0.5</v>
      </c>
      <c r="O7" s="7">
        <f t="shared" si="5"/>
        <v>1314</v>
      </c>
      <c r="P7" s="7">
        <v>0</v>
      </c>
      <c r="Q7" s="21">
        <f t="shared" si="6"/>
        <v>0</v>
      </c>
      <c r="R7" s="22">
        <f t="shared" si="7"/>
        <v>4037.0802</v>
      </c>
    </row>
    <row r="8" spans="1:18">
      <c r="A8" s="5">
        <v>4</v>
      </c>
      <c r="B8" s="6" t="s">
        <v>30</v>
      </c>
      <c r="C8" s="7" t="s">
        <v>193</v>
      </c>
      <c r="D8" s="7">
        <v>0</v>
      </c>
      <c r="E8" s="8">
        <f t="shared" si="0"/>
        <v>0</v>
      </c>
      <c r="F8" s="7">
        <v>0.5</v>
      </c>
      <c r="G8" s="9">
        <f t="shared" si="1"/>
        <v>801.28</v>
      </c>
      <c r="H8" s="7">
        <v>0</v>
      </c>
      <c r="I8" s="9">
        <f t="shared" si="2"/>
        <v>0</v>
      </c>
      <c r="J8" s="7">
        <v>0.25</v>
      </c>
      <c r="K8" s="9">
        <f t="shared" si="3"/>
        <v>360.5775</v>
      </c>
      <c r="L8" s="7">
        <v>8</v>
      </c>
      <c r="M8" s="7">
        <f t="shared" si="4"/>
        <v>10800</v>
      </c>
      <c r="N8" s="7">
        <v>2.5</v>
      </c>
      <c r="O8" s="7">
        <f t="shared" si="5"/>
        <v>6570</v>
      </c>
      <c r="P8" s="7">
        <v>1</v>
      </c>
      <c r="Q8" s="21">
        <f t="shared" si="6"/>
        <v>4247</v>
      </c>
      <c r="R8" s="22">
        <f t="shared" si="7"/>
        <v>22778.8575</v>
      </c>
    </row>
    <row r="9" spans="1:18">
      <c r="A9" s="5">
        <v>5</v>
      </c>
      <c r="B9" s="6" t="s">
        <v>194</v>
      </c>
      <c r="C9" s="7" t="s">
        <v>195</v>
      </c>
      <c r="D9" s="7">
        <v>0</v>
      </c>
      <c r="E9" s="8">
        <f t="shared" si="0"/>
        <v>0</v>
      </c>
      <c r="F9" s="7">
        <v>0.68</v>
      </c>
      <c r="G9" s="9">
        <f t="shared" si="1"/>
        <v>1089.7408</v>
      </c>
      <c r="H9" s="7">
        <v>1.46</v>
      </c>
      <c r="I9" s="9">
        <f t="shared" si="2"/>
        <v>1988.7828</v>
      </c>
      <c r="J9" s="7">
        <v>0</v>
      </c>
      <c r="K9" s="9">
        <f t="shared" si="3"/>
        <v>0</v>
      </c>
      <c r="L9" s="7">
        <v>2.5</v>
      </c>
      <c r="M9" s="7">
        <f t="shared" si="4"/>
        <v>3375</v>
      </c>
      <c r="N9" s="7">
        <v>0.5</v>
      </c>
      <c r="O9" s="7">
        <f t="shared" si="5"/>
        <v>1314</v>
      </c>
      <c r="P9" s="7">
        <v>0</v>
      </c>
      <c r="Q9" s="21">
        <f t="shared" si="6"/>
        <v>0</v>
      </c>
      <c r="R9" s="22">
        <f t="shared" si="7"/>
        <v>7767.5236</v>
      </c>
    </row>
    <row r="10" spans="1:18">
      <c r="A10" s="5">
        <v>6</v>
      </c>
      <c r="B10" s="6" t="s">
        <v>28</v>
      </c>
      <c r="C10" s="7" t="s">
        <v>196</v>
      </c>
      <c r="D10" s="7">
        <v>0</v>
      </c>
      <c r="E10" s="8">
        <f t="shared" si="0"/>
        <v>0</v>
      </c>
      <c r="F10" s="7">
        <v>5.53</v>
      </c>
      <c r="G10" s="9">
        <f t="shared" si="1"/>
        <v>8862.1568</v>
      </c>
      <c r="H10" s="7">
        <v>2.54</v>
      </c>
      <c r="I10" s="9">
        <f t="shared" si="2"/>
        <v>3459.9372</v>
      </c>
      <c r="J10" s="7">
        <v>12.54</v>
      </c>
      <c r="K10" s="9">
        <f t="shared" si="3"/>
        <v>18086.5674</v>
      </c>
      <c r="L10" s="7">
        <v>0</v>
      </c>
      <c r="M10" s="7">
        <f t="shared" si="4"/>
        <v>0</v>
      </c>
      <c r="N10" s="7">
        <v>0</v>
      </c>
      <c r="O10" s="7">
        <f t="shared" si="5"/>
        <v>0</v>
      </c>
      <c r="P10" s="7">
        <v>21</v>
      </c>
      <c r="Q10" s="21">
        <f t="shared" si="6"/>
        <v>89187</v>
      </c>
      <c r="R10" s="22">
        <f t="shared" si="7"/>
        <v>119595.6614</v>
      </c>
    </row>
    <row r="11" spans="1:18">
      <c r="A11" s="5">
        <v>7</v>
      </c>
      <c r="B11" s="6" t="s">
        <v>19</v>
      </c>
      <c r="C11" s="7" t="s">
        <v>197</v>
      </c>
      <c r="D11" s="7">
        <v>0</v>
      </c>
      <c r="E11" s="8">
        <f t="shared" si="0"/>
        <v>0</v>
      </c>
      <c r="F11" s="7">
        <v>6.55</v>
      </c>
      <c r="G11" s="9">
        <f t="shared" si="1"/>
        <v>10496.768</v>
      </c>
      <c r="H11" s="7">
        <v>1.28</v>
      </c>
      <c r="I11" s="9">
        <f t="shared" si="2"/>
        <v>1743.5904</v>
      </c>
      <c r="J11" s="7">
        <v>1.46</v>
      </c>
      <c r="K11" s="9">
        <f t="shared" si="3"/>
        <v>2105.7726</v>
      </c>
      <c r="L11" s="7">
        <v>2</v>
      </c>
      <c r="M11" s="7">
        <f t="shared" si="4"/>
        <v>2700</v>
      </c>
      <c r="N11" s="7">
        <v>0</v>
      </c>
      <c r="O11" s="7">
        <f t="shared" si="5"/>
        <v>0</v>
      </c>
      <c r="P11" s="7">
        <v>1.25</v>
      </c>
      <c r="Q11" s="21">
        <f t="shared" si="6"/>
        <v>5308.75</v>
      </c>
      <c r="R11" s="22">
        <f t="shared" si="7"/>
        <v>22354.881</v>
      </c>
    </row>
    <row r="12" spans="1:18">
      <c r="A12" s="5">
        <v>8</v>
      </c>
      <c r="B12" s="6" t="s">
        <v>198</v>
      </c>
      <c r="C12" s="7" t="s">
        <v>199</v>
      </c>
      <c r="D12" s="7">
        <v>0</v>
      </c>
      <c r="E12" s="8">
        <f t="shared" si="0"/>
        <v>0</v>
      </c>
      <c r="F12" s="7">
        <v>1.88</v>
      </c>
      <c r="G12" s="9">
        <f t="shared" si="1"/>
        <v>3012.8128</v>
      </c>
      <c r="H12" s="7">
        <v>3.6</v>
      </c>
      <c r="I12" s="9">
        <f t="shared" si="2"/>
        <v>4903.848</v>
      </c>
      <c r="J12" s="7">
        <v>0</v>
      </c>
      <c r="K12" s="9">
        <f t="shared" si="3"/>
        <v>0</v>
      </c>
      <c r="L12" s="7">
        <v>14</v>
      </c>
      <c r="M12" s="7">
        <f t="shared" si="4"/>
        <v>18900</v>
      </c>
      <c r="N12" s="7">
        <v>0</v>
      </c>
      <c r="O12" s="7">
        <f t="shared" si="5"/>
        <v>0</v>
      </c>
      <c r="P12" s="7">
        <v>0.5</v>
      </c>
      <c r="Q12" s="21">
        <f t="shared" si="6"/>
        <v>2123.5</v>
      </c>
      <c r="R12" s="22">
        <f t="shared" si="7"/>
        <v>28940.1608</v>
      </c>
    </row>
    <row r="13" spans="1:18">
      <c r="A13" s="5">
        <v>9</v>
      </c>
      <c r="B13" s="6" t="s">
        <v>200</v>
      </c>
      <c r="C13" s="7" t="s">
        <v>201</v>
      </c>
      <c r="D13" s="7">
        <v>0</v>
      </c>
      <c r="E13" s="8">
        <f t="shared" si="0"/>
        <v>0</v>
      </c>
      <c r="F13" s="7">
        <v>0.3</v>
      </c>
      <c r="G13" s="9">
        <f t="shared" si="1"/>
        <v>480.768</v>
      </c>
      <c r="H13" s="7">
        <v>3.38</v>
      </c>
      <c r="I13" s="9">
        <f t="shared" si="2"/>
        <v>4604.1684</v>
      </c>
      <c r="J13" s="7">
        <v>2.2</v>
      </c>
      <c r="K13" s="9">
        <f t="shared" si="3"/>
        <v>3173.082</v>
      </c>
      <c r="L13" s="7">
        <v>0</v>
      </c>
      <c r="M13" s="7">
        <f t="shared" si="4"/>
        <v>0</v>
      </c>
      <c r="N13" s="7">
        <v>0</v>
      </c>
      <c r="O13" s="7">
        <f t="shared" si="5"/>
        <v>0</v>
      </c>
      <c r="P13" s="7">
        <v>0.5</v>
      </c>
      <c r="Q13" s="21">
        <f t="shared" si="6"/>
        <v>2123.5</v>
      </c>
      <c r="R13" s="22">
        <f t="shared" si="7"/>
        <v>10381.5184</v>
      </c>
    </row>
    <row r="14" spans="1:18">
      <c r="A14" s="5">
        <v>10</v>
      </c>
      <c r="B14" s="6" t="s">
        <v>48</v>
      </c>
      <c r="C14" s="7" t="s">
        <v>202</v>
      </c>
      <c r="D14" s="7">
        <v>16.25</v>
      </c>
      <c r="E14" s="8">
        <f t="shared" si="0"/>
        <v>41666.625</v>
      </c>
      <c r="F14" s="7">
        <v>11.4</v>
      </c>
      <c r="G14" s="9">
        <f t="shared" si="1"/>
        <v>18269.184</v>
      </c>
      <c r="H14" s="7">
        <v>4.61</v>
      </c>
      <c r="I14" s="9">
        <f t="shared" si="2"/>
        <v>6279.6498</v>
      </c>
      <c r="J14" s="7">
        <v>9.38</v>
      </c>
      <c r="K14" s="9">
        <f t="shared" si="3"/>
        <v>13528.8678</v>
      </c>
      <c r="L14" s="7">
        <v>1.25</v>
      </c>
      <c r="M14" s="7">
        <f t="shared" si="4"/>
        <v>1687.5</v>
      </c>
      <c r="N14" s="7">
        <v>2</v>
      </c>
      <c r="O14" s="7">
        <f t="shared" si="5"/>
        <v>5256</v>
      </c>
      <c r="P14" s="7">
        <v>4.75</v>
      </c>
      <c r="Q14" s="21">
        <f t="shared" si="6"/>
        <v>20173.25</v>
      </c>
      <c r="R14" s="22">
        <f t="shared" si="7"/>
        <v>106861.0766</v>
      </c>
    </row>
    <row r="15" spans="1:18">
      <c r="A15" s="5">
        <v>11</v>
      </c>
      <c r="B15" s="6" t="s">
        <v>152</v>
      </c>
      <c r="C15" s="7" t="s">
        <v>203</v>
      </c>
      <c r="D15" s="7">
        <v>0</v>
      </c>
      <c r="E15" s="8">
        <f t="shared" si="0"/>
        <v>0</v>
      </c>
      <c r="F15" s="7">
        <v>0</v>
      </c>
      <c r="G15" s="9">
        <f t="shared" si="1"/>
        <v>0</v>
      </c>
      <c r="H15" s="7">
        <v>6.73</v>
      </c>
      <c r="I15" s="9">
        <f t="shared" si="2"/>
        <v>9167.4714</v>
      </c>
      <c r="J15" s="7">
        <v>1.7</v>
      </c>
      <c r="K15" s="9">
        <f t="shared" si="3"/>
        <v>2451.927</v>
      </c>
      <c r="L15" s="7">
        <v>19.44</v>
      </c>
      <c r="M15" s="7">
        <f t="shared" si="4"/>
        <v>26244</v>
      </c>
      <c r="N15" s="7">
        <v>1.5</v>
      </c>
      <c r="O15" s="7">
        <f t="shared" si="5"/>
        <v>3942</v>
      </c>
      <c r="P15" s="7">
        <v>0.5</v>
      </c>
      <c r="Q15" s="21">
        <f t="shared" si="6"/>
        <v>2123.5</v>
      </c>
      <c r="R15" s="22">
        <f t="shared" si="7"/>
        <v>43928.8984</v>
      </c>
    </row>
    <row r="16" spans="1:18">
      <c r="A16" s="5">
        <v>12</v>
      </c>
      <c r="B16" s="6" t="s">
        <v>169</v>
      </c>
      <c r="C16" s="7" t="s">
        <v>204</v>
      </c>
      <c r="D16" s="7">
        <v>0</v>
      </c>
      <c r="E16" s="8">
        <f t="shared" si="0"/>
        <v>0</v>
      </c>
      <c r="F16" s="7">
        <v>1.51</v>
      </c>
      <c r="G16" s="9">
        <f t="shared" si="1"/>
        <v>2419.8656</v>
      </c>
      <c r="H16" s="7">
        <v>2.41</v>
      </c>
      <c r="I16" s="9">
        <f t="shared" si="2"/>
        <v>3282.8538</v>
      </c>
      <c r="J16" s="7">
        <v>0.63</v>
      </c>
      <c r="K16" s="9">
        <f t="shared" si="3"/>
        <v>908.6553</v>
      </c>
      <c r="L16" s="7">
        <v>0</v>
      </c>
      <c r="M16" s="7">
        <f t="shared" si="4"/>
        <v>0</v>
      </c>
      <c r="N16" s="7">
        <v>0.5</v>
      </c>
      <c r="O16" s="7">
        <f t="shared" si="5"/>
        <v>1314</v>
      </c>
      <c r="P16" s="7">
        <v>0</v>
      </c>
      <c r="Q16" s="21">
        <f t="shared" si="6"/>
        <v>0</v>
      </c>
      <c r="R16" s="22">
        <f t="shared" si="7"/>
        <v>7925.3747</v>
      </c>
    </row>
    <row r="17" spans="1:18">
      <c r="A17" s="5">
        <v>13</v>
      </c>
      <c r="B17" s="6" t="s">
        <v>205</v>
      </c>
      <c r="C17" s="7" t="s">
        <v>206</v>
      </c>
      <c r="D17" s="7">
        <v>0</v>
      </c>
      <c r="E17" s="8">
        <f t="shared" si="0"/>
        <v>0</v>
      </c>
      <c r="F17" s="7">
        <v>0</v>
      </c>
      <c r="G17" s="9">
        <f t="shared" si="1"/>
        <v>0</v>
      </c>
      <c r="H17" s="7">
        <v>0</v>
      </c>
      <c r="I17" s="9">
        <f t="shared" si="2"/>
        <v>0</v>
      </c>
      <c r="J17" s="7">
        <v>0</v>
      </c>
      <c r="K17" s="9">
        <f t="shared" si="3"/>
        <v>0</v>
      </c>
      <c r="L17" s="7">
        <v>4</v>
      </c>
      <c r="M17" s="7">
        <f t="shared" si="4"/>
        <v>5400</v>
      </c>
      <c r="N17" s="7">
        <v>0</v>
      </c>
      <c r="O17" s="7">
        <f t="shared" si="5"/>
        <v>0</v>
      </c>
      <c r="P17" s="7">
        <v>0</v>
      </c>
      <c r="Q17" s="21">
        <f t="shared" si="6"/>
        <v>0</v>
      </c>
      <c r="R17" s="22">
        <f t="shared" si="7"/>
        <v>5400</v>
      </c>
    </row>
    <row r="18" spans="1:18">
      <c r="A18" s="5">
        <v>14</v>
      </c>
      <c r="B18" s="6" t="s">
        <v>207</v>
      </c>
      <c r="C18" s="7" t="s">
        <v>208</v>
      </c>
      <c r="D18" s="7">
        <v>0</v>
      </c>
      <c r="E18" s="8">
        <f t="shared" si="0"/>
        <v>0</v>
      </c>
      <c r="F18" s="7">
        <v>0</v>
      </c>
      <c r="G18" s="9">
        <f t="shared" si="1"/>
        <v>0</v>
      </c>
      <c r="H18" s="7">
        <v>0.73</v>
      </c>
      <c r="I18" s="9">
        <f t="shared" si="2"/>
        <v>994.3914</v>
      </c>
      <c r="J18" s="7">
        <v>0</v>
      </c>
      <c r="K18" s="9">
        <f t="shared" si="3"/>
        <v>0</v>
      </c>
      <c r="L18" s="7">
        <v>0.25</v>
      </c>
      <c r="M18" s="7">
        <f t="shared" si="4"/>
        <v>337.5</v>
      </c>
      <c r="N18" s="7">
        <v>0</v>
      </c>
      <c r="O18" s="7">
        <f t="shared" si="5"/>
        <v>0</v>
      </c>
      <c r="P18" s="7">
        <v>0</v>
      </c>
      <c r="Q18" s="21">
        <f t="shared" si="6"/>
        <v>0</v>
      </c>
      <c r="R18" s="22">
        <f t="shared" si="7"/>
        <v>1331.8914</v>
      </c>
    </row>
    <row r="19" spans="1:18">
      <c r="A19" s="5">
        <v>15</v>
      </c>
      <c r="B19" s="6" t="s">
        <v>209</v>
      </c>
      <c r="C19" s="7"/>
      <c r="D19" s="7">
        <v>0</v>
      </c>
      <c r="E19" s="8">
        <f t="shared" si="0"/>
        <v>0</v>
      </c>
      <c r="F19" s="7">
        <v>0</v>
      </c>
      <c r="G19" s="9">
        <f t="shared" si="1"/>
        <v>0</v>
      </c>
      <c r="H19" s="7">
        <v>0</v>
      </c>
      <c r="I19" s="9">
        <f t="shared" si="2"/>
        <v>0</v>
      </c>
      <c r="J19" s="7">
        <v>0</v>
      </c>
      <c r="K19" s="9">
        <f t="shared" si="3"/>
        <v>0</v>
      </c>
      <c r="L19" s="7">
        <v>2.25</v>
      </c>
      <c r="M19" s="7">
        <f t="shared" si="4"/>
        <v>3037.5</v>
      </c>
      <c r="N19" s="7">
        <v>0</v>
      </c>
      <c r="O19" s="7">
        <f t="shared" si="5"/>
        <v>0</v>
      </c>
      <c r="P19" s="7">
        <v>0</v>
      </c>
      <c r="Q19" s="21">
        <f t="shared" si="6"/>
        <v>0</v>
      </c>
      <c r="R19" s="22">
        <f t="shared" si="7"/>
        <v>3037.5</v>
      </c>
    </row>
    <row r="20" spans="1:18">
      <c r="A20" s="5">
        <v>16</v>
      </c>
      <c r="B20" s="6" t="s">
        <v>210</v>
      </c>
      <c r="C20" s="7"/>
      <c r="D20" s="7">
        <v>0</v>
      </c>
      <c r="E20" s="8">
        <f t="shared" si="0"/>
        <v>0</v>
      </c>
      <c r="F20" s="7">
        <v>0</v>
      </c>
      <c r="G20" s="9">
        <f t="shared" si="1"/>
        <v>0</v>
      </c>
      <c r="H20" s="7">
        <v>0.86</v>
      </c>
      <c r="I20" s="9">
        <f t="shared" si="2"/>
        <v>1171.4748</v>
      </c>
      <c r="J20" s="7">
        <v>4.23</v>
      </c>
      <c r="K20" s="9">
        <f t="shared" si="3"/>
        <v>6100.9713</v>
      </c>
      <c r="L20" s="7">
        <v>20</v>
      </c>
      <c r="M20" s="7">
        <f t="shared" si="4"/>
        <v>27000</v>
      </c>
      <c r="N20" s="7">
        <v>0</v>
      </c>
      <c r="O20" s="7">
        <f t="shared" si="5"/>
        <v>0</v>
      </c>
      <c r="P20" s="7">
        <v>0</v>
      </c>
      <c r="Q20" s="21">
        <f t="shared" si="6"/>
        <v>0</v>
      </c>
      <c r="R20" s="22">
        <f t="shared" si="7"/>
        <v>34272.4461</v>
      </c>
    </row>
    <row r="21" spans="1:18">
      <c r="A21" s="5">
        <v>17</v>
      </c>
      <c r="B21" s="6" t="s">
        <v>121</v>
      </c>
      <c r="C21" s="7"/>
      <c r="D21" s="7">
        <v>0</v>
      </c>
      <c r="E21" s="8">
        <f t="shared" si="0"/>
        <v>0</v>
      </c>
      <c r="F21" s="7">
        <v>0</v>
      </c>
      <c r="G21" s="9">
        <f t="shared" si="1"/>
        <v>0</v>
      </c>
      <c r="H21" s="7">
        <v>0</v>
      </c>
      <c r="I21" s="9">
        <f t="shared" si="2"/>
        <v>0</v>
      </c>
      <c r="J21" s="7">
        <v>1.42</v>
      </c>
      <c r="K21" s="9">
        <f t="shared" si="3"/>
        <v>2048.0802</v>
      </c>
      <c r="L21" s="7">
        <v>0</v>
      </c>
      <c r="M21" s="7">
        <f t="shared" si="4"/>
        <v>0</v>
      </c>
      <c r="N21" s="7">
        <v>0</v>
      </c>
      <c r="O21" s="7">
        <f t="shared" si="5"/>
        <v>0</v>
      </c>
      <c r="P21" s="7">
        <v>0</v>
      </c>
      <c r="Q21" s="21">
        <f t="shared" si="6"/>
        <v>0</v>
      </c>
      <c r="R21" s="22">
        <f t="shared" si="7"/>
        <v>2048.0802</v>
      </c>
    </row>
    <row r="22" spans="1:18">
      <c r="A22" s="5">
        <v>18</v>
      </c>
      <c r="B22" s="6" t="s">
        <v>211</v>
      </c>
      <c r="C22" s="7"/>
      <c r="D22" s="7">
        <v>0</v>
      </c>
      <c r="E22" s="8">
        <f t="shared" si="0"/>
        <v>0</v>
      </c>
      <c r="F22" s="7">
        <v>0.33</v>
      </c>
      <c r="G22" s="9">
        <f t="shared" si="1"/>
        <v>528.8448</v>
      </c>
      <c r="H22" s="7">
        <v>5.38</v>
      </c>
      <c r="I22" s="9">
        <f t="shared" si="2"/>
        <v>7328.5284</v>
      </c>
      <c r="J22" s="7">
        <v>1.73</v>
      </c>
      <c r="K22" s="9">
        <f t="shared" si="3"/>
        <v>2495.1963</v>
      </c>
      <c r="L22" s="7">
        <v>8</v>
      </c>
      <c r="M22" s="7">
        <f t="shared" si="4"/>
        <v>10800</v>
      </c>
      <c r="N22" s="7">
        <v>0</v>
      </c>
      <c r="O22" s="7">
        <f t="shared" si="5"/>
        <v>0</v>
      </c>
      <c r="P22" s="7">
        <v>0</v>
      </c>
      <c r="Q22" s="21">
        <f t="shared" si="6"/>
        <v>0</v>
      </c>
      <c r="R22" s="22">
        <f t="shared" si="7"/>
        <v>21152.5695</v>
      </c>
    </row>
    <row r="23" spans="1:17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7"/>
      <c r="P23" s="11"/>
      <c r="Q23" s="23"/>
    </row>
    <row r="24" spans="10:10">
      <c r="J24" s="18"/>
    </row>
  </sheetData>
  <mergeCells count="6">
    <mergeCell ref="L3:M3"/>
    <mergeCell ref="N3:P3"/>
    <mergeCell ref="A3:A4"/>
    <mergeCell ref="B3:B4"/>
    <mergeCell ref="C3:C4"/>
    <mergeCell ref="A1:Q2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74BD1D6-A13F-4B3A-8CA5-D796BB353C44}">
  <ds:schemaRefs/>
</ds:datastoreItem>
</file>

<file path=customXml/itemProps2.xml><?xml version="1.0" encoding="utf-8"?>
<ds:datastoreItem xmlns:ds="http://schemas.openxmlformats.org/officeDocument/2006/customXml" ds:itemID="{D2E297B2-B377-4EAC-AC06-1BF0B4902C81}">
  <ds:schemaRefs/>
</ds:datastoreItem>
</file>

<file path=customXml/itemProps3.xml><?xml version="1.0" encoding="utf-8"?>
<ds:datastoreItem xmlns:ds="http://schemas.openxmlformats.org/officeDocument/2006/customXml" ds:itemID="{40E67201-4A87-47D3-843E-B4399D571B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 ip_ OLD</vt:lpstr>
      <vt:lpstr>sample 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Alqama Hasnain</cp:lastModifiedBy>
  <dcterms:created xsi:type="dcterms:W3CDTF">2026-01-14T08:33:00Z</dcterms:created>
  <dcterms:modified xsi:type="dcterms:W3CDTF">2026-03-28T15:36:58Z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0x010100C5F0C60A3A680F44B037FEB90914ADC7</vt:lpwstr>
  </property>
  <property fmtid="{D5CDD505-2E9C-101B-9397-08002B2CF9AE}" pid="3" name="MediaServiceImageTags">
    <vt:lpwstr/>
  </property>
  <property fmtid="{D5CDD505-2E9C-101B-9397-08002B2CF9AE}" pid="4" name="ICV">
    <vt:lpwstr>E7EB569CD65840C784B636E262E74AB2_13</vt:lpwstr>
  </property>
  <property fmtid="{D5CDD505-2E9C-101B-9397-08002B2CF9AE}" pid="5" name="KSOProductBuildVer">
    <vt:lpwstr>2057-12.2.0.23197</vt:lpwstr>
  </property>
</Properties>
</file>