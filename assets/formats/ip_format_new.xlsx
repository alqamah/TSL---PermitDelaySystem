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olors1.xml" ContentType="application/vnd.ms-office.chartcolorstyle+xml"/>
  <Override PartName="/xl/charts/style1.xml" ContentType="application/vnd.ms-office.chartstyl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267" windowHeight="8019"/>
  </bookViews>
  <sheets>
    <sheet name="Crane and geine" sheetId="73" r:id="rId1"/>
    <sheet name="Sheet4" sheetId="72" state="hidden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<sst xmlns="http://schemas.openxmlformats.org/spreadsheetml/2006/main" count="45" uniqueCount="43">
  <si>
    <t>Infra resources permit delay data MIS</t>
  </si>
  <si>
    <t>Vendor Name:-                                                                           Month:-</t>
  </si>
  <si>
    <t>S. NO.</t>
  </si>
  <si>
    <t>Date</t>
  </si>
  <si>
    <t>Department</t>
  </si>
  <si>
    <t>Location</t>
  </si>
  <si>
    <t>User Name</t>
  </si>
  <si>
    <t>Jobs nature SD/N/MSD</t>
  </si>
  <si>
    <t>Crane reaching time at site</t>
  </si>
  <si>
    <t>Crane shift reporting time (A/G/B/C shift)</t>
  </si>
  <si>
    <t>Crane Type</t>
  </si>
  <si>
    <t>Permit No.</t>
  </si>
  <si>
    <t>PERMIT PROCESS STEPS (Railway time format)</t>
  </si>
  <si>
    <t xml:space="preserve">Actual reason of permit delay </t>
  </si>
  <si>
    <t>Hiring cost/ hour</t>
  </si>
  <si>
    <t>A. Permit Create Time (Created by User)</t>
  </si>
  <si>
    <t>B. PTW requested time (User requested to Operation)</t>
  </si>
  <si>
    <t>C. Permit Issued time (Operation approved permit)</t>
  </si>
  <si>
    <t>D. Permit Taken time (Vendor accepted)</t>
  </si>
  <si>
    <t>Total permit delay time
 (D-A)</t>
  </si>
  <si>
    <t>Total permit delay hours</t>
  </si>
  <si>
    <t>Permit delay cost</t>
  </si>
  <si>
    <t>BD</t>
  </si>
  <si>
    <t>G</t>
  </si>
  <si>
    <t>40T</t>
  </si>
  <si>
    <t>CP</t>
  </si>
  <si>
    <t>COKE PLANT BATTERY 1011- COMMON</t>
  </si>
  <si>
    <t>SUMEET SINGH</t>
  </si>
  <si>
    <t> </t>
  </si>
  <si>
    <t>SD</t>
  </si>
  <si>
    <t>A</t>
  </si>
  <si>
    <t>60T</t>
  </si>
  <si>
    <t>A-F BF</t>
  </si>
  <si>
    <t>RMM</t>
  </si>
  <si>
    <t>CRM</t>
  </si>
  <si>
    <t>PP</t>
  </si>
  <si>
    <t>HSM</t>
  </si>
  <si>
    <t>LD#2</t>
  </si>
  <si>
    <t>RMBB1</t>
  </si>
  <si>
    <t>OLD CP</t>
  </si>
  <si>
    <t>GBF</t>
  </si>
  <si>
    <t>BPH</t>
  </si>
  <si>
    <t>NEW CP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</si>
</sst>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1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&quot;₹&quot;\ #,##0"/>
    <numFmt numFmtId="181" formatCode="0.000"/>
    <numFmt numFmtId="182" formatCode="&quot;₹&quot;\ #,##0.00"/>
    <numFmt numFmtId="183" formatCode="dd/mm/yyyy"/>
    <numFmt numFmtId="184" formatCode="h:mm\ AM/PM"/>
    <numFmt numFmtId="185" formatCode="dd/mmm/yy"/>
    <numFmt numFmtId="186" formatCode="0;[Red]0"/>
  </numFmts>
  <fonts count="35">
    <font>
      <sz val="11"/>
      <color theme="1"/>
      <name val="Calibri"/>
      <charset val="134"/>
      <scheme val="minor"/>
    </font>
    <font>
      <sz val="11"/>
      <name val="Calibri"/>
      <charset val="134"/>
      <scheme val="minor"/>
    </font>
    <font>
      <b/>
      <sz val="14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2"/>
      <color theme="0"/>
      <name val="Calibri"/>
      <charset val="134"/>
      <scheme val="minor"/>
    </font>
    <font>
      <sz val="11"/>
      <color rgb="FF000000"/>
      <name val="Calibri"/>
      <charset val="134"/>
    </font>
    <font>
      <b/>
      <sz val="8"/>
      <color rgb="FF000000"/>
      <name val="Bahnschrift"/>
      <charset val="134"/>
    </font>
    <font>
      <b/>
      <sz val="8"/>
      <color rgb="FF656D78"/>
      <name val="Arial"/>
      <charset val="134"/>
    </font>
    <font>
      <sz val="11"/>
      <name val="Calibri"/>
      <charset val="134"/>
    </font>
    <font>
      <b/>
      <sz val="8"/>
      <name val="Bahnschrift"/>
      <charset val="134"/>
    </font>
    <font>
      <b/>
      <sz val="8"/>
      <name val="Arial"/>
      <charset val="134"/>
    </font>
    <font>
      <b/>
      <sz val="14"/>
      <name val="Bahnschrift"/>
      <charset val="134"/>
    </font>
    <font>
      <b/>
      <sz val="11"/>
      <name val="Bahnschrift"/>
      <charset val="134"/>
    </font>
    <font>
      <b/>
      <sz val="12"/>
      <color theme="1"/>
      <name val="Calibri"/>
      <charset val="134"/>
      <scheme val="minor"/>
    </font>
    <font>
      <b/>
      <sz val="10"/>
      <name val="Bahnschrift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4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5" fillId="0" borderId="0" applyFont="0" applyFill="0" applyBorder="0" applyAlignment="0" applyProtection="0">
      <alignment vertical="center"/>
    </xf>
    <xf numFmtId="177" fontId="15" fillId="0" borderId="0" applyFont="0" applyFill="0" applyBorder="0" applyAlignment="0" applyProtection="0">
      <alignment vertical="center"/>
    </xf>
    <xf numFmtId="9" fontId="15" fillId="0" borderId="0" applyFont="0" applyFill="0" applyBorder="0" applyAlignment="0" applyProtection="0">
      <alignment vertical="center"/>
    </xf>
    <xf numFmtId="178" fontId="15" fillId="0" borderId="0" applyFont="0" applyFill="0" applyBorder="0" applyAlignment="0" applyProtection="0">
      <alignment vertical="center"/>
    </xf>
    <xf numFmtId="179" fontId="15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5" fillId="10" borderId="2" applyNumberFormat="0" applyFon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3" applyNumberFormat="0" applyFill="0" applyAlignment="0" applyProtection="0">
      <alignment vertical="center"/>
    </xf>
    <xf numFmtId="0" fontId="22" fillId="0" borderId="3" applyNumberFormat="0" applyFill="0" applyAlignment="0" applyProtection="0">
      <alignment vertical="center"/>
    </xf>
    <xf numFmtId="0" fontId="23" fillId="0" borderId="4" applyNumberFormat="0" applyFill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11" borderId="5" applyNumberFormat="0" applyAlignment="0" applyProtection="0">
      <alignment vertical="center"/>
    </xf>
    <xf numFmtId="0" fontId="25" fillId="12" borderId="6" applyNumberFormat="0" applyAlignment="0" applyProtection="0">
      <alignment vertical="center"/>
    </xf>
    <xf numFmtId="0" fontId="26" fillId="12" borderId="5" applyNumberFormat="0" applyAlignment="0" applyProtection="0">
      <alignment vertical="center"/>
    </xf>
    <xf numFmtId="0" fontId="27" fillId="13" borderId="7" applyNumberFormat="0" applyAlignment="0" applyProtection="0">
      <alignment vertical="center"/>
    </xf>
    <xf numFmtId="0" fontId="28" fillId="0" borderId="8" applyNumberFormat="0" applyFill="0" applyAlignment="0" applyProtection="0">
      <alignment vertical="center"/>
    </xf>
    <xf numFmtId="0" fontId="29" fillId="0" borderId="9" applyNumberFormat="0" applyFill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3" fillId="28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34" fillId="34" borderId="0" applyNumberFormat="0" applyBorder="0" applyAlignment="0" applyProtection="0">
      <alignment vertical="center"/>
    </xf>
    <xf numFmtId="0" fontId="34" fillId="35" borderId="0" applyNumberFormat="0" applyBorder="0" applyAlignment="0" applyProtection="0">
      <alignment vertical="center"/>
    </xf>
    <xf numFmtId="0" fontId="33" fillId="36" borderId="0" applyNumberFormat="0" applyBorder="0" applyAlignment="0" applyProtection="0">
      <alignment vertical="center"/>
    </xf>
    <xf numFmtId="0" fontId="33" fillId="37" borderId="0" applyNumberFormat="0" applyBorder="0" applyAlignment="0" applyProtection="0">
      <alignment vertical="center"/>
    </xf>
    <xf numFmtId="0" fontId="34" fillId="38" borderId="0" applyNumberFormat="0" applyBorder="0" applyAlignment="0" applyProtection="0">
      <alignment vertical="center"/>
    </xf>
    <xf numFmtId="0" fontId="34" fillId="39" borderId="0" applyNumberFormat="0" applyBorder="0" applyAlignment="0" applyProtection="0">
      <alignment vertical="center"/>
    </xf>
    <xf numFmtId="0" fontId="33" fillId="40" borderId="0" applyNumberFormat="0" applyBorder="0" applyAlignment="0" applyProtection="0">
      <alignment vertical="center"/>
    </xf>
  </cellStyleXfs>
  <cellXfs count="65">
    <xf numFmtId="0" fontId="0" fillId="0" borderId="0" xfId="0"/>
    <xf numFmtId="0" fontId="0" fillId="0" borderId="0" xfId="0" applyAlignment="1">
      <alignment horizontal="left"/>
    </xf>
    <xf numFmtId="0" fontId="0" fillId="2" borderId="1" xfId="0" applyFill="1" applyBorder="1"/>
    <xf numFmtId="180" fontId="1" fillId="0" borderId="1" xfId="0" applyNumberFormat="1" applyFont="1" applyBorder="1" applyAlignment="1">
      <alignment horizontal="left"/>
    </xf>
    <xf numFmtId="0" fontId="0" fillId="0" borderId="0" xfId="0" applyBorder="1" applyProtection="1">
      <protection locked="0"/>
    </xf>
    <xf numFmtId="0" fontId="1" fillId="0" borderId="0" xfId="0" applyFont="1" applyFill="1" applyBorder="1" applyProtection="1">
      <protection locked="0"/>
    </xf>
    <xf numFmtId="0" fontId="1" fillId="0" borderId="0" xfId="0" applyFont="1" applyFill="1" applyBorder="1" applyAlignment="1" applyProtection="1">
      <alignment horizontal="left"/>
      <protection locked="0"/>
    </xf>
    <xf numFmtId="0" fontId="1" fillId="0" borderId="0" xfId="0" applyFont="1" applyFill="1" applyBorder="1" applyAlignment="1" applyProtection="1">
      <alignment horizontal="center"/>
      <protection locked="0"/>
    </xf>
    <xf numFmtId="0" fontId="1" fillId="0" borderId="0" xfId="0" applyFont="1" applyFill="1" applyBorder="1"/>
    <xf numFmtId="20" fontId="1" fillId="0" borderId="0" xfId="0" applyNumberFormat="1" applyFont="1" applyFill="1" applyBorder="1" applyProtection="1">
      <protection locked="0"/>
    </xf>
    <xf numFmtId="20" fontId="1" fillId="0" borderId="0" xfId="0" applyNumberFormat="1" applyFont="1" applyFill="1" applyBorder="1" applyAlignment="1">
      <alignment horizontal="center"/>
    </xf>
    <xf numFmtId="181" fontId="1" fillId="0" borderId="0" xfId="0" applyNumberFormat="1" applyFont="1" applyFill="1" applyBorder="1"/>
    <xf numFmtId="182" fontId="1" fillId="0" borderId="0" xfId="0" applyNumberFormat="1" applyFont="1" applyFill="1" applyBorder="1" applyAlignment="1">
      <alignment horizontal="center"/>
    </xf>
    <xf numFmtId="0" fontId="2" fillId="3" borderId="0" xfId="0" applyFont="1" applyFill="1" applyBorder="1" applyProtection="1">
      <protection locked="0"/>
    </xf>
    <xf numFmtId="0" fontId="3" fillId="4" borderId="0" xfId="0" applyFont="1" applyFill="1" applyBorder="1" applyProtection="1">
      <protection locked="0"/>
    </xf>
    <xf numFmtId="0" fontId="4" fillId="5" borderId="0" xfId="0" applyFont="1" applyFill="1" applyBorder="1" applyAlignment="1" applyProtection="1">
      <alignment horizontal="center" vertical="center"/>
      <protection locked="0"/>
    </xf>
    <xf numFmtId="0" fontId="4" fillId="5" borderId="0" xfId="0" applyFont="1" applyFill="1" applyBorder="1" applyAlignment="1" applyProtection="1">
      <alignment horizontal="center" vertical="center" wrapText="1"/>
      <protection locked="0"/>
    </xf>
    <xf numFmtId="0" fontId="4" fillId="6" borderId="0" xfId="0" applyFont="1" applyFill="1" applyBorder="1" applyAlignment="1" applyProtection="1">
      <alignment horizontal="center" vertical="center" wrapText="1"/>
      <protection locked="0"/>
    </xf>
    <xf numFmtId="0" fontId="5" fillId="0" borderId="0" xfId="0" applyFont="1" applyFill="1" applyBorder="1" applyAlignment="1" applyProtection="1">
      <alignment horizontal="center"/>
      <protection locked="0"/>
    </xf>
    <xf numFmtId="183" fontId="6" fillId="0" borderId="0" xfId="0" applyNumberFormat="1" applyFont="1" applyFill="1" applyBorder="1" applyAlignment="1" applyProtection="1">
      <alignment horizontal="center" wrapText="1"/>
      <protection locked="0"/>
    </xf>
    <xf numFmtId="183" fontId="6" fillId="7" borderId="0" xfId="0" applyNumberFormat="1" applyFont="1" applyFill="1" applyBorder="1" applyAlignment="1" applyProtection="1">
      <alignment horizontal="center" wrapText="1"/>
      <protection locked="0"/>
    </xf>
    <xf numFmtId="183" fontId="7" fillId="0" borderId="0" xfId="0" applyNumberFormat="1" applyFont="1" applyFill="1" applyBorder="1" applyAlignment="1" applyProtection="1">
      <alignment horizontal="center"/>
      <protection locked="0"/>
    </xf>
    <xf numFmtId="183" fontId="6" fillId="7" borderId="0" xfId="0" applyNumberFormat="1" applyFont="1" applyFill="1" applyBorder="1" applyAlignment="1" applyProtection="1">
      <alignment horizontal="center"/>
      <protection locked="0"/>
    </xf>
    <xf numFmtId="20" fontId="5" fillId="0" borderId="0" xfId="0" applyNumberFormat="1" applyFont="1" applyFill="1" applyBorder="1" applyAlignment="1" applyProtection="1">
      <alignment horizontal="center"/>
      <protection locked="0"/>
    </xf>
    <xf numFmtId="184" fontId="5" fillId="0" borderId="0" xfId="0" applyNumberFormat="1" applyFont="1" applyFill="1" applyBorder="1" applyAlignment="1" applyProtection="1">
      <alignment horizontal="center"/>
      <protection locked="0"/>
    </xf>
    <xf numFmtId="0" fontId="8" fillId="0" borderId="0" xfId="0" applyFont="1" applyFill="1" applyBorder="1" applyAlignment="1" applyProtection="1">
      <alignment horizontal="center"/>
      <protection locked="0"/>
    </xf>
    <xf numFmtId="183" fontId="9" fillId="0" borderId="0" xfId="0" applyNumberFormat="1" applyFont="1" applyFill="1" applyBorder="1" applyAlignment="1" applyProtection="1">
      <alignment horizontal="center" wrapText="1"/>
      <protection locked="0"/>
    </xf>
    <xf numFmtId="183" fontId="9" fillId="0" borderId="0" xfId="0" applyNumberFormat="1" applyFont="1" applyFill="1" applyBorder="1" applyAlignment="1" applyProtection="1">
      <alignment horizontal="center" wrapText="1"/>
      <protection locked="0"/>
    </xf>
    <xf numFmtId="183" fontId="10" fillId="0" borderId="0" xfId="0" applyNumberFormat="1" applyFont="1" applyFill="1" applyBorder="1" applyAlignment="1" applyProtection="1">
      <alignment horizontal="center"/>
      <protection locked="0"/>
    </xf>
    <xf numFmtId="183" fontId="9" fillId="0" borderId="0" xfId="0" applyNumberFormat="1" applyFont="1" applyFill="1" applyBorder="1" applyAlignment="1" applyProtection="1">
      <alignment horizontal="center"/>
      <protection locked="0"/>
    </xf>
    <xf numFmtId="20" fontId="8" fillId="0" borderId="0" xfId="0" applyNumberFormat="1" applyFont="1" applyFill="1" applyBorder="1" applyAlignment="1" applyProtection="1">
      <alignment horizontal="center"/>
      <protection locked="0"/>
    </xf>
    <xf numFmtId="184" fontId="8" fillId="0" borderId="0" xfId="0" applyNumberFormat="1" applyFont="1" applyFill="1" applyBorder="1" applyAlignment="1" applyProtection="1">
      <alignment horizontal="center"/>
      <protection locked="0"/>
    </xf>
    <xf numFmtId="0" fontId="8" fillId="0" borderId="0" xfId="0" applyFont="1" applyFill="1" applyBorder="1" applyAlignment="1" applyProtection="1">
      <protection locked="0"/>
    </xf>
    <xf numFmtId="185" fontId="9" fillId="0" borderId="0" xfId="0" applyNumberFormat="1" applyFont="1" applyFill="1" applyBorder="1" applyAlignment="1" applyProtection="1">
      <alignment horizontal="left" wrapText="1"/>
      <protection locked="0"/>
    </xf>
    <xf numFmtId="0" fontId="9" fillId="0" borderId="0" xfId="0" applyFont="1" applyFill="1" applyBorder="1" applyAlignment="1" applyProtection="1">
      <alignment horizontal="left" wrapText="1"/>
      <protection locked="0"/>
    </xf>
    <xf numFmtId="0" fontId="10" fillId="0" borderId="0" xfId="0" applyFont="1" applyFill="1" applyBorder="1" applyAlignment="1" applyProtection="1">
      <protection locked="0"/>
    </xf>
    <xf numFmtId="0" fontId="9" fillId="0" borderId="0" xfId="0" applyFont="1" applyFill="1" applyBorder="1" applyAlignment="1" applyProtection="1">
      <alignment horizontal="left"/>
      <protection locked="0"/>
    </xf>
    <xf numFmtId="184" fontId="8" fillId="0" borderId="0" xfId="0" applyNumberFormat="1" applyFont="1" applyFill="1" applyBorder="1" applyAlignment="1" applyProtection="1">
      <alignment horizontal="left"/>
      <protection locked="0"/>
    </xf>
    <xf numFmtId="0" fontId="9" fillId="0" borderId="0" xfId="0" applyFont="1" applyFill="1" applyBorder="1" applyAlignment="1" applyProtection="1">
      <protection locked="0"/>
    </xf>
    <xf numFmtId="0" fontId="11" fillId="0" borderId="0" xfId="0" applyFont="1" applyFill="1" applyBorder="1" applyAlignment="1" applyProtection="1">
      <protection locked="0"/>
    </xf>
    <xf numFmtId="0" fontId="8" fillId="0" borderId="0" xfId="0" applyFont="1" applyFill="1" applyBorder="1" applyAlignment="1" applyProtection="1">
      <alignment horizontal="left"/>
      <protection locked="0"/>
    </xf>
    <xf numFmtId="0" fontId="1" fillId="0" borderId="0" xfId="0" applyFont="1" applyFill="1" applyBorder="1" applyAlignment="1">
      <alignment horizontal="left"/>
    </xf>
    <xf numFmtId="0" fontId="1" fillId="0" borderId="0" xfId="0" applyFont="1" applyFill="1" applyBorder="1" applyAlignment="1">
      <alignment horizontal="center"/>
    </xf>
    <xf numFmtId="0" fontId="12" fillId="0" borderId="0" xfId="0" applyFont="1" applyFill="1" applyBorder="1" applyAlignment="1" applyProtection="1">
      <alignment horizontal="left"/>
      <protection locked="0"/>
    </xf>
    <xf numFmtId="0" fontId="2" fillId="3" borderId="0" xfId="0" applyFont="1" applyFill="1" applyBorder="1"/>
    <xf numFmtId="0" fontId="3" fillId="4" borderId="0" xfId="0" applyFont="1" applyFill="1" applyBorder="1"/>
    <xf numFmtId="0" fontId="0" fillId="0" borderId="0" xfId="0" applyBorder="1"/>
    <xf numFmtId="0" fontId="13" fillId="8" borderId="0" xfId="0" applyFont="1" applyFill="1" applyBorder="1" applyProtection="1">
      <protection locked="0"/>
    </xf>
    <xf numFmtId="0" fontId="13" fillId="8" borderId="0" xfId="0" applyFont="1" applyFill="1" applyBorder="1"/>
    <xf numFmtId="0" fontId="4" fillId="6" borderId="0" xfId="0" applyFont="1" applyFill="1" applyBorder="1" applyAlignment="1">
      <alignment vertical="center" wrapText="1"/>
    </xf>
    <xf numFmtId="20" fontId="4" fillId="9" borderId="0" xfId="0" applyNumberFormat="1" applyFont="1" applyFill="1" applyBorder="1" applyAlignment="1" applyProtection="1">
      <alignment horizontal="center" vertical="center" wrapText="1"/>
      <protection locked="0"/>
    </xf>
    <xf numFmtId="0" fontId="4" fillId="6" borderId="0" xfId="0" applyFont="1" applyFill="1" applyBorder="1" applyAlignment="1">
      <alignment horizontal="center" vertical="center" wrapText="1"/>
    </xf>
    <xf numFmtId="0" fontId="0" fillId="0" borderId="0" xfId="0" applyBorder="1" applyAlignment="1" applyProtection="1">
      <alignment horizontal="center"/>
      <protection locked="0"/>
    </xf>
    <xf numFmtId="186" fontId="14" fillId="7" borderId="0" xfId="0" applyNumberFormat="1" applyFont="1" applyFill="1" applyBorder="1" applyAlignment="1" applyProtection="1">
      <alignment horizontal="center"/>
      <protection locked="0"/>
    </xf>
    <xf numFmtId="20" fontId="0" fillId="0" borderId="0" xfId="0" applyNumberFormat="1" applyBorder="1" applyAlignment="1" applyProtection="1">
      <alignment horizontal="center"/>
      <protection locked="0"/>
    </xf>
    <xf numFmtId="20" fontId="0" fillId="0" borderId="0" xfId="0" applyNumberFormat="1" applyBorder="1" applyAlignment="1">
      <alignment horizontal="center"/>
    </xf>
    <xf numFmtId="186" fontId="14" fillId="0" borderId="0" xfId="0" applyNumberFormat="1" applyFont="1" applyFill="1" applyBorder="1" applyAlignment="1" applyProtection="1">
      <protection locked="0"/>
    </xf>
    <xf numFmtId="20" fontId="1" fillId="0" borderId="0" xfId="0" applyNumberFormat="1" applyFont="1" applyFill="1" applyBorder="1" applyAlignment="1" applyProtection="1">
      <alignment horizontal="center"/>
      <protection locked="0"/>
    </xf>
    <xf numFmtId="0" fontId="14" fillId="0" borderId="0" xfId="0" applyFont="1" applyFill="1" applyBorder="1" applyAlignment="1" applyProtection="1">
      <alignment horizontal="left"/>
      <protection locked="0"/>
    </xf>
    <xf numFmtId="0" fontId="14" fillId="0" borderId="0" xfId="0" applyFont="1" applyFill="1" applyBorder="1" applyAlignment="1" applyProtection="1">
      <protection locked="0"/>
    </xf>
    <xf numFmtId="20" fontId="1" fillId="0" borderId="0" xfId="0" applyNumberFormat="1" applyFont="1" applyFill="1" applyBorder="1"/>
    <xf numFmtId="0" fontId="13" fillId="8" borderId="0" xfId="0" applyFont="1" applyFill="1" applyBorder="1" applyAlignment="1">
      <alignment horizontal="center"/>
    </xf>
    <xf numFmtId="181" fontId="0" fillId="0" borderId="0" xfId="0" applyNumberFormat="1" applyBorder="1"/>
    <xf numFmtId="182" fontId="0" fillId="0" borderId="0" xfId="0" applyNumberFormat="1" applyBorder="1" applyAlignment="1">
      <alignment horizontal="center"/>
    </xf>
    <xf numFmtId="0" fontId="0" fillId="0" borderId="0" xfId="0" applyBorder="1" applyAlignment="1" applyProtection="1">
      <alignment horizontal="left"/>
      <protection locked="0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GB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GB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Sheet4!$A$1:$A$11</c:f>
              <c:strCache>
                <c:ptCount val="11"/>
                <c:pt idx="0">
                  <c:v>A-F BF</c:v>
                </c:pt>
                <c:pt idx="1">
                  <c:v>RMM</c:v>
                </c:pt>
                <c:pt idx="2">
                  <c:v>CRM</c:v>
                </c:pt>
                <c:pt idx="3">
                  <c:v>PP</c:v>
                </c:pt>
                <c:pt idx="4">
                  <c:v>HSM</c:v>
                </c:pt>
                <c:pt idx="5">
                  <c:v>LD#2</c:v>
                </c:pt>
                <c:pt idx="6">
                  <c:v>RMBB1</c:v>
                </c:pt>
                <c:pt idx="7">
                  <c:v>OLD CP</c:v>
                </c:pt>
                <c:pt idx="8">
                  <c:v>GBF</c:v>
                </c:pt>
                <c:pt idx="9">
                  <c:v>BPH</c:v>
                </c:pt>
                <c:pt idx="10">
                  <c:v>NEW CP</c:v>
                </c:pt>
              </c:strCache>
            </c:strRef>
          </c:cat>
          <c:val>
            <c:numRef>
              <c:f>Sheet4!$B$1:$B$11</c:f>
              <c:numCache>
                <c:formatCode>"₹"\ #,##0</c:formatCode>
                <c:ptCount val="11"/>
                <c:pt idx="0">
                  <c:v>86951.9444444444</c:v>
                </c:pt>
                <c:pt idx="1">
                  <c:v>40738.7673611111</c:v>
                </c:pt>
                <c:pt idx="2">
                  <c:v>32594.375</c:v>
                </c:pt>
                <c:pt idx="3">
                  <c:v>26699.8263888889</c:v>
                </c:pt>
                <c:pt idx="4">
                  <c:v>21792.6041666667</c:v>
                </c:pt>
                <c:pt idx="5">
                  <c:v>21263.2291666667</c:v>
                </c:pt>
                <c:pt idx="6">
                  <c:v>18944.0625</c:v>
                </c:pt>
                <c:pt idx="7">
                  <c:v>16679.5138888889</c:v>
                </c:pt>
                <c:pt idx="8">
                  <c:v>16461.0416666667</c:v>
                </c:pt>
                <c:pt idx="9">
                  <c:v>11513.90625</c:v>
                </c:pt>
                <c:pt idx="10">
                  <c:v>10734.5486111111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405045039"/>
        <c:axId val="405045519"/>
      </c:barChart>
      <c:catAx>
        <c:axId val="4050450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05045519"/>
        <c:crosses val="autoZero"/>
        <c:auto val="1"/>
        <c:lblAlgn val="ctr"/>
        <c:lblOffset val="100"/>
        <c:noMultiLvlLbl val="0"/>
      </c:catAx>
      <c:valAx>
        <c:axId val="405045519"/>
        <c:scaling>
          <c:orientation val="minMax"/>
        </c:scaling>
        <c:delete val="1"/>
        <c:axPos val="l"/>
        <c:numFmt formatCode="&quot;₹&quot;\ #,##0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050450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fce56dc2-3f16-4a37-8b14-19ac49a2cce8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GB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4</xdr:col>
      <xdr:colOff>98425</xdr:colOff>
      <xdr:row>2</xdr:row>
      <xdr:rowOff>82550</xdr:rowOff>
    </xdr:from>
    <xdr:to>
      <xdr:col>11</xdr:col>
      <xdr:colOff>403225</xdr:colOff>
      <xdr:row>17</xdr:row>
      <xdr:rowOff>63500</xdr:rowOff>
    </xdr:to>
    <xdr:graphicFrame>
      <xdr:nvGraphicFramePr>
        <xdr:cNvPr id="2" name="Chart 1"/>
        <xdr:cNvGraphicFramePr/>
      </xdr:nvGraphicFramePr>
      <xdr:xfrm>
        <a:off x="3667125" y="448310"/>
        <a:ext cx="4745355" cy="27241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35"/>
  <sheetViews>
    <sheetView tabSelected="1" zoomScale="89" zoomScaleNormal="89" topLeftCell="H1" workbookViewId="0">
      <selection activeCell="J18" sqref="J18"/>
    </sheetView>
  </sheetViews>
  <sheetFormatPr defaultColWidth="9.18018018018018" defaultRowHeight="14.4"/>
  <cols>
    <col min="1" max="1" width="6.45045045045045" style="5" customWidth="1"/>
    <col min="2" max="2" width="12.8198198198198" style="6" customWidth="1"/>
    <col min="3" max="3" width="12.5405405405405" style="6" customWidth="1"/>
    <col min="4" max="4" width="39" style="5" customWidth="1"/>
    <col min="5" max="5" width="20.4504504504505" style="6" customWidth="1"/>
    <col min="6" max="6" width="13.5405405405405" style="5" customWidth="1"/>
    <col min="7" max="7" width="20.4504504504505" style="6" customWidth="1"/>
    <col min="8" max="8" width="13.1801801801802" style="7" customWidth="1"/>
    <col min="9" max="9" width="14.5405405405405" style="5" customWidth="1"/>
    <col min="10" max="10" width="14.5405405405405" style="8" customWidth="1"/>
    <col min="11" max="11" width="15" style="6" customWidth="1"/>
    <col min="12" max="12" width="16.4504504504505" style="9" customWidth="1"/>
    <col min="13" max="14" width="17.7297297297297" style="9" customWidth="1"/>
    <col min="15" max="15" width="17.8198198198198" style="9" customWidth="1"/>
    <col min="16" max="16" width="18.8198198198198" style="10" customWidth="1"/>
    <col min="17" max="17" width="21.8198198198198" style="11" customWidth="1"/>
    <col min="18" max="18" width="10.7297297297297" style="12" customWidth="1"/>
    <col min="19" max="19" width="35.8198198198198" style="6" customWidth="1"/>
    <col min="20" max="20" width="9.18018018018018" style="5"/>
    <col min="21" max="25" width="9.18018018018018" style="5" hidden="1" customWidth="1"/>
    <col min="26" max="16384" width="9.18018018018018" style="5"/>
  </cols>
  <sheetData>
    <row r="1" s="4" customFormat="1" ht="18.25" spans="1:19">
      <c r="A1" s="13" t="s">
        <v>0</v>
      </c>
      <c r="B1" s="13"/>
      <c r="C1" s="13"/>
      <c r="D1" s="13"/>
      <c r="E1" s="13"/>
      <c r="F1" s="13"/>
      <c r="G1" s="13"/>
      <c r="H1" s="13"/>
      <c r="I1" s="13"/>
      <c r="J1" s="44"/>
      <c r="K1" s="13"/>
      <c r="L1" s="13"/>
      <c r="M1" s="13"/>
      <c r="N1" s="13"/>
      <c r="O1" s="13"/>
      <c r="P1" s="44"/>
      <c r="Q1" s="44"/>
      <c r="R1" s="44"/>
      <c r="S1" s="13"/>
    </row>
    <row r="2" s="4" customFormat="1" spans="1:19">
      <c r="A2" s="14" t="s">
        <v>1</v>
      </c>
      <c r="B2" s="14"/>
      <c r="C2" s="14"/>
      <c r="D2" s="14"/>
      <c r="E2" s="14"/>
      <c r="F2" s="14"/>
      <c r="G2" s="14"/>
      <c r="H2" s="14"/>
      <c r="I2" s="14"/>
      <c r="J2" s="45"/>
      <c r="K2" s="14"/>
      <c r="L2" s="14"/>
      <c r="M2" s="14"/>
      <c r="N2" s="14"/>
      <c r="O2" s="14"/>
      <c r="P2" s="45"/>
      <c r="Q2" s="45"/>
      <c r="R2" s="45"/>
      <c r="S2" s="14"/>
    </row>
    <row r="3" s="4" customFormat="1" ht="16" customHeight="1" spans="1:19">
      <c r="A3" s="15" t="s">
        <v>2</v>
      </c>
      <c r="B3" s="15" t="s">
        <v>3</v>
      </c>
      <c r="C3" s="16" t="s">
        <v>4</v>
      </c>
      <c r="D3" s="16" t="s">
        <v>5</v>
      </c>
      <c r="E3" s="16" t="s">
        <v>6</v>
      </c>
      <c r="F3" s="17" t="s">
        <v>7</v>
      </c>
      <c r="G3" s="16" t="s">
        <v>8</v>
      </c>
      <c r="H3" s="17" t="s">
        <v>9</v>
      </c>
      <c r="I3" s="17" t="s">
        <v>10</v>
      </c>
      <c r="J3" s="46"/>
      <c r="K3" s="15" t="s">
        <v>11</v>
      </c>
      <c r="L3" s="47" t="s">
        <v>12</v>
      </c>
      <c r="M3" s="47"/>
      <c r="N3" s="47"/>
      <c r="O3" s="47"/>
      <c r="P3" s="48"/>
      <c r="Q3" s="61"/>
      <c r="R3" s="61"/>
      <c r="S3" s="16" t="s">
        <v>13</v>
      </c>
    </row>
    <row r="4" s="4" customFormat="1" ht="67.4" customHeight="1" spans="1:25">
      <c r="A4" s="15"/>
      <c r="B4" s="15"/>
      <c r="C4" s="16"/>
      <c r="D4" s="16"/>
      <c r="E4" s="16"/>
      <c r="F4" s="17"/>
      <c r="G4" s="16"/>
      <c r="H4" s="17"/>
      <c r="I4" s="17"/>
      <c r="J4" s="49" t="s">
        <v>14</v>
      </c>
      <c r="K4" s="15"/>
      <c r="L4" s="50" t="s">
        <v>15</v>
      </c>
      <c r="M4" s="50" t="s">
        <v>16</v>
      </c>
      <c r="N4" s="50" t="s">
        <v>17</v>
      </c>
      <c r="O4" s="50" t="s">
        <v>18</v>
      </c>
      <c r="P4" s="51" t="s">
        <v>19</v>
      </c>
      <c r="Q4" s="51" t="s">
        <v>20</v>
      </c>
      <c r="R4" s="51" t="s">
        <v>21</v>
      </c>
      <c r="S4" s="16"/>
      <c r="U4" s="4" t="s">
        <v>22</v>
      </c>
      <c r="V4" s="4" t="s">
        <v>23</v>
      </c>
      <c r="X4" s="4" t="s">
        <v>24</v>
      </c>
      <c r="Y4" s="4">
        <v>1350</v>
      </c>
    </row>
    <row r="5" s="4" customFormat="1" spans="1:25">
      <c r="A5" s="18">
        <v>1</v>
      </c>
      <c r="B5" s="19">
        <v>46174</v>
      </c>
      <c r="C5" s="20" t="s">
        <v>25</v>
      </c>
      <c r="D5" s="21" t="s">
        <v>26</v>
      </c>
      <c r="E5" s="22" t="s">
        <v>27</v>
      </c>
      <c r="F5" s="23" t="s">
        <v>28</v>
      </c>
      <c r="G5" s="24">
        <v>0.395833333333333</v>
      </c>
      <c r="H5" s="18" t="s">
        <v>28</v>
      </c>
      <c r="I5" s="52" t="s">
        <v>24</v>
      </c>
      <c r="J5" s="46">
        <f t="shared" ref="J5:J69" si="0">VLOOKUP(TRIM(I5),$X$4:$Y$15,2,0)</f>
        <v>1350</v>
      </c>
      <c r="K5" s="53">
        <v>110021692713</v>
      </c>
      <c r="L5" s="54"/>
      <c r="M5" s="54"/>
      <c r="N5" s="54"/>
      <c r="O5" s="54"/>
      <c r="P5" s="55">
        <f>MOD(O5-L5,1)</f>
        <v>0</v>
      </c>
      <c r="Q5" s="62">
        <f>IF(P5&lt;TIME(0,30,0),0,P5-TIME(0,30,0))*24</f>
        <v>0</v>
      </c>
      <c r="R5" s="63">
        <f>J5*Q5</f>
        <v>0</v>
      </c>
      <c r="S5" s="64"/>
      <c r="U5" s="4" t="s">
        <v>29</v>
      </c>
      <c r="V5" s="4" t="s">
        <v>30</v>
      </c>
      <c r="X5" s="4" t="s">
        <v>31</v>
      </c>
      <c r="Y5" s="4">
        <v>1442</v>
      </c>
    </row>
    <row r="6" spans="1:15">
      <c r="A6" s="25"/>
      <c r="B6" s="26"/>
      <c r="C6" s="27"/>
      <c r="D6" s="28"/>
      <c r="E6" s="29"/>
      <c r="F6" s="30"/>
      <c r="G6" s="31"/>
      <c r="H6" s="25"/>
      <c r="I6" s="7"/>
      <c r="K6" s="56"/>
      <c r="L6" s="57"/>
      <c r="M6" s="57"/>
      <c r="N6" s="57"/>
      <c r="O6" s="57"/>
    </row>
    <row r="7" spans="1:15">
      <c r="A7" s="25"/>
      <c r="B7" s="26"/>
      <c r="C7" s="27"/>
      <c r="D7" s="28"/>
      <c r="E7" s="29"/>
      <c r="F7" s="30"/>
      <c r="G7" s="31"/>
      <c r="H7" s="25"/>
      <c r="I7" s="7"/>
      <c r="K7" s="56"/>
      <c r="L7" s="57"/>
      <c r="M7" s="57"/>
      <c r="N7" s="57"/>
      <c r="O7" s="57"/>
    </row>
    <row r="8" spans="1:15">
      <c r="A8" s="25"/>
      <c r="B8" s="26"/>
      <c r="C8" s="27"/>
      <c r="D8" s="28"/>
      <c r="E8" s="29"/>
      <c r="F8" s="30"/>
      <c r="G8" s="31"/>
      <c r="H8" s="25"/>
      <c r="I8" s="7"/>
      <c r="K8" s="56"/>
      <c r="L8" s="57"/>
      <c r="M8" s="57"/>
      <c r="N8" s="57"/>
      <c r="O8" s="57"/>
    </row>
    <row r="9" spans="1:15">
      <c r="A9" s="25"/>
      <c r="B9" s="26"/>
      <c r="C9" s="27"/>
      <c r="D9" s="28"/>
      <c r="E9" s="29"/>
      <c r="F9" s="30"/>
      <c r="G9" s="31"/>
      <c r="H9" s="25"/>
      <c r="I9" s="7"/>
      <c r="K9" s="56"/>
      <c r="L9" s="57"/>
      <c r="M9" s="57"/>
      <c r="N9" s="57"/>
      <c r="O9" s="57"/>
    </row>
    <row r="10" spans="1:15">
      <c r="A10" s="25"/>
      <c r="B10" s="26"/>
      <c r="C10" s="27"/>
      <c r="D10" s="28"/>
      <c r="E10" s="29"/>
      <c r="F10" s="30"/>
      <c r="G10" s="31"/>
      <c r="H10" s="25"/>
      <c r="I10" s="7"/>
      <c r="K10" s="56"/>
      <c r="L10" s="57"/>
      <c r="M10" s="57"/>
      <c r="N10" s="57"/>
      <c r="O10" s="57"/>
    </row>
    <row r="11" spans="1:15">
      <c r="A11" s="32"/>
      <c r="B11" s="33"/>
      <c r="C11" s="34"/>
      <c r="D11" s="35"/>
      <c r="E11" s="36"/>
      <c r="F11" s="32"/>
      <c r="G11" s="37"/>
      <c r="H11" s="25"/>
      <c r="K11" s="58"/>
      <c r="L11" s="57"/>
      <c r="M11" s="57"/>
      <c r="N11" s="57"/>
      <c r="O11" s="57"/>
    </row>
    <row r="12" spans="1:15">
      <c r="A12" s="32"/>
      <c r="B12" s="33"/>
      <c r="C12" s="34"/>
      <c r="D12" s="35"/>
      <c r="E12" s="36"/>
      <c r="F12" s="32"/>
      <c r="G12" s="37"/>
      <c r="H12" s="25"/>
      <c r="K12" s="58"/>
      <c r="L12" s="57"/>
      <c r="M12" s="57"/>
      <c r="N12" s="57"/>
      <c r="O12" s="57"/>
    </row>
    <row r="13" spans="1:15">
      <c r="A13" s="32"/>
      <c r="B13" s="33"/>
      <c r="C13" s="34"/>
      <c r="D13" s="35"/>
      <c r="E13" s="36"/>
      <c r="F13" s="32"/>
      <c r="G13" s="37"/>
      <c r="H13" s="25"/>
      <c r="K13" s="58"/>
      <c r="L13" s="57"/>
      <c r="M13" s="57"/>
      <c r="N13" s="57"/>
      <c r="O13" s="57"/>
    </row>
    <row r="14" spans="1:11">
      <c r="A14" s="32"/>
      <c r="B14" s="33"/>
      <c r="C14" s="34"/>
      <c r="D14" s="38"/>
      <c r="E14" s="36"/>
      <c r="F14" s="32"/>
      <c r="G14" s="37"/>
      <c r="H14" s="25"/>
      <c r="K14" s="58"/>
    </row>
    <row r="15" spans="1:12">
      <c r="A15" s="32"/>
      <c r="B15" s="33"/>
      <c r="C15" s="34"/>
      <c r="D15" s="35"/>
      <c r="E15" s="36"/>
      <c r="F15" s="32"/>
      <c r="G15" s="37"/>
      <c r="H15" s="25"/>
      <c r="K15" s="59"/>
      <c r="L15" s="5"/>
    </row>
    <row r="16" spans="1:12">
      <c r="A16" s="32"/>
      <c r="B16" s="33"/>
      <c r="C16" s="34"/>
      <c r="D16" s="35"/>
      <c r="E16" s="36"/>
      <c r="F16" s="32"/>
      <c r="G16" s="37"/>
      <c r="H16" s="25"/>
      <c r="K16" s="59"/>
      <c r="L16" s="5"/>
    </row>
    <row r="17" spans="1:12">
      <c r="A17" s="32"/>
      <c r="B17" s="33"/>
      <c r="C17" s="34"/>
      <c r="D17" s="35"/>
      <c r="E17" s="36"/>
      <c r="F17" s="32"/>
      <c r="G17" s="37"/>
      <c r="H17" s="25"/>
      <c r="K17" s="59"/>
      <c r="L17" s="5"/>
    </row>
    <row r="18" spans="1:12">
      <c r="A18" s="32"/>
      <c r="B18" s="33"/>
      <c r="C18" s="34"/>
      <c r="D18" s="35"/>
      <c r="E18" s="36"/>
      <c r="F18" s="32"/>
      <c r="G18" s="37"/>
      <c r="H18" s="25"/>
      <c r="K18" s="59"/>
      <c r="L18" s="5"/>
    </row>
    <row r="19" spans="1:12">
      <c r="A19" s="32"/>
      <c r="B19" s="33"/>
      <c r="C19" s="34"/>
      <c r="D19" s="35"/>
      <c r="E19" s="36"/>
      <c r="F19" s="32"/>
      <c r="G19" s="37"/>
      <c r="H19" s="25"/>
      <c r="K19" s="59"/>
      <c r="L19" s="5"/>
    </row>
    <row r="20" spans="1:12">
      <c r="A20" s="32"/>
      <c r="B20" s="33"/>
      <c r="C20" s="34"/>
      <c r="D20" s="35"/>
      <c r="E20" s="36"/>
      <c r="F20" s="32"/>
      <c r="G20" s="37"/>
      <c r="H20" s="25"/>
      <c r="K20" s="59"/>
      <c r="L20" s="5"/>
    </row>
    <row r="21" spans="1:12">
      <c r="A21" s="32"/>
      <c r="B21" s="33"/>
      <c r="C21" s="34"/>
      <c r="D21" s="35"/>
      <c r="E21" s="36"/>
      <c r="F21" s="32"/>
      <c r="G21" s="37"/>
      <c r="H21" s="25"/>
      <c r="K21" s="59"/>
      <c r="L21" s="5"/>
    </row>
    <row r="22" spans="1:12">
      <c r="A22" s="32"/>
      <c r="B22" s="33"/>
      <c r="C22" s="34"/>
      <c r="D22" s="38"/>
      <c r="E22" s="36"/>
      <c r="F22" s="32"/>
      <c r="G22" s="37"/>
      <c r="H22" s="25"/>
      <c r="K22" s="59"/>
      <c r="L22" s="5"/>
    </row>
    <row r="23" spans="1:12">
      <c r="A23" s="32"/>
      <c r="B23" s="33"/>
      <c r="C23" s="34"/>
      <c r="D23" s="38"/>
      <c r="E23" s="36"/>
      <c r="F23" s="32"/>
      <c r="G23" s="37"/>
      <c r="H23" s="25"/>
      <c r="K23" s="59"/>
      <c r="L23" s="5"/>
    </row>
    <row r="24" ht="17.15" spans="1:12">
      <c r="A24" s="32"/>
      <c r="B24" s="33"/>
      <c r="C24" s="34"/>
      <c r="D24" s="39"/>
      <c r="E24" s="36"/>
      <c r="F24" s="32"/>
      <c r="G24" s="37"/>
      <c r="H24" s="25"/>
      <c r="K24" s="32"/>
      <c r="L24" s="5"/>
    </row>
    <row r="25" ht="17.15" spans="1:12">
      <c r="A25" s="32"/>
      <c r="B25" s="33"/>
      <c r="C25" s="40"/>
      <c r="D25" s="39"/>
      <c r="E25" s="40"/>
      <c r="F25" s="32"/>
      <c r="G25" s="40"/>
      <c r="H25" s="25"/>
      <c r="K25" s="32"/>
      <c r="L25" s="5"/>
    </row>
    <row r="26" spans="1:12">
      <c r="A26" s="32"/>
      <c r="B26" s="33"/>
      <c r="C26" s="34"/>
      <c r="D26" s="38"/>
      <c r="E26" s="36"/>
      <c r="F26" s="32"/>
      <c r="G26" s="37"/>
      <c r="H26" s="25"/>
      <c r="K26" s="59"/>
      <c r="L26" s="5"/>
    </row>
    <row r="27" spans="1:12">
      <c r="A27" s="32"/>
      <c r="B27" s="33"/>
      <c r="C27" s="34"/>
      <c r="D27" s="38"/>
      <c r="E27" s="36"/>
      <c r="F27" s="32"/>
      <c r="G27" s="37"/>
      <c r="H27" s="25"/>
      <c r="K27" s="59"/>
      <c r="L27" s="5"/>
    </row>
    <row r="28" spans="1:20">
      <c r="A28" s="8"/>
      <c r="B28" s="41"/>
      <c r="C28" s="41"/>
      <c r="D28" s="8"/>
      <c r="E28" s="41"/>
      <c r="F28" s="8"/>
      <c r="G28" s="41"/>
      <c r="H28" s="42"/>
      <c r="I28" s="8"/>
      <c r="K28" s="41"/>
      <c r="L28" s="60"/>
      <c r="M28" s="60"/>
      <c r="N28" s="60"/>
      <c r="O28" s="60"/>
      <c r="S28" s="41"/>
      <c r="T28" s="8"/>
    </row>
    <row r="29" spans="1:11">
      <c r="A29" s="32"/>
      <c r="B29" s="33"/>
      <c r="C29" s="40"/>
      <c r="D29" s="38"/>
      <c r="E29" s="43"/>
      <c r="F29" s="32"/>
      <c r="G29" s="40"/>
      <c r="H29" s="25"/>
      <c r="K29" s="58"/>
    </row>
    <row r="30" spans="1:8">
      <c r="A30" s="32"/>
      <c r="B30" s="33"/>
      <c r="C30" s="40"/>
      <c r="D30" s="32"/>
      <c r="E30" s="40"/>
      <c r="F30" s="32"/>
      <c r="G30" s="40"/>
      <c r="H30" s="25"/>
    </row>
    <row r="31" spans="1:8">
      <c r="A31" s="32"/>
      <c r="B31" s="33"/>
      <c r="C31" s="40"/>
      <c r="D31" s="32"/>
      <c r="E31" s="40"/>
      <c r="F31" s="32"/>
      <c r="G31" s="40"/>
      <c r="H31" s="25"/>
    </row>
    <row r="32" spans="1:8">
      <c r="A32" s="32"/>
      <c r="B32" s="33"/>
      <c r="C32" s="40"/>
      <c r="D32" s="32"/>
      <c r="E32" s="40"/>
      <c r="F32" s="32"/>
      <c r="G32" s="40"/>
      <c r="H32" s="25"/>
    </row>
    <row r="33" spans="1:8">
      <c r="A33" s="32"/>
      <c r="B33" s="33"/>
      <c r="C33" s="40"/>
      <c r="D33" s="32"/>
      <c r="E33" s="40"/>
      <c r="F33" s="32"/>
      <c r="G33" s="40"/>
      <c r="H33" s="25"/>
    </row>
    <row r="34" spans="1:8">
      <c r="A34" s="32"/>
      <c r="B34" s="33"/>
      <c r="C34" s="40"/>
      <c r="D34" s="32"/>
      <c r="E34" s="40"/>
      <c r="F34" s="32"/>
      <c r="G34" s="40"/>
      <c r="H34" s="25"/>
    </row>
    <row r="35" spans="1:8">
      <c r="A35" s="32"/>
      <c r="B35" s="33"/>
      <c r="C35" s="40"/>
      <c r="D35" s="32"/>
      <c r="E35" s="40"/>
      <c r="F35" s="32"/>
      <c r="G35" s="40"/>
      <c r="H35" s="25"/>
    </row>
  </sheetData>
  <sheetProtection selectLockedCells="1"/>
  <mergeCells count="11">
    <mergeCell ref="A3:A4"/>
    <mergeCell ref="B3:B4"/>
    <mergeCell ref="C3:C4"/>
    <mergeCell ref="D3:D4"/>
    <mergeCell ref="E3:E4"/>
    <mergeCell ref="F3:F4"/>
    <mergeCell ref="G3:G4"/>
    <mergeCell ref="H3:H4"/>
    <mergeCell ref="I3:I4"/>
    <mergeCell ref="K3:K4"/>
    <mergeCell ref="S3:S4"/>
  </mergeCells>
  <dataValidations count="2">
    <dataValidation type="list" allowBlank="1" showInputMessage="1" showErrorMessage="1" sqref="H28 H36:H1048576">
      <formula1>$V$4:$V$8</formula1>
    </dataValidation>
    <dataValidation type="list" allowBlank="1" showInputMessage="1" showErrorMessage="1" sqref="I5:I1048576">
      <formula1>$X$4:$X$15</formula1>
    </dataValidation>
  </dataValidations>
  <pageMargins left="0.7" right="0.7" top="0.75" bottom="0.75" header="0.3" footer="0.3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1"/>
  <sheetViews>
    <sheetView workbookViewId="0">
      <selection activeCell="D11" sqref="D11"/>
    </sheetView>
  </sheetViews>
  <sheetFormatPr defaultColWidth="9" defaultRowHeight="14.4" outlineLevelCol="1"/>
  <cols>
    <col min="1" max="1" width="18.1801801801802" style="1" customWidth="1"/>
    <col min="2" max="2" width="14.4504504504505" style="1" customWidth="1"/>
  </cols>
  <sheetData>
    <row r="1" spans="1:2">
      <c r="A1" s="2" t="s">
        <v>32</v>
      </c>
      <c r="B1" s="3">
        <v>86951.9444444444</v>
      </c>
    </row>
    <row r="2" spans="1:2">
      <c r="A2" s="2" t="s">
        <v>33</v>
      </c>
      <c r="B2" s="3">
        <v>40738.7673611111</v>
      </c>
    </row>
    <row r="3" spans="1:2">
      <c r="A3" s="2" t="s">
        <v>34</v>
      </c>
      <c r="B3" s="3">
        <v>32594.375</v>
      </c>
    </row>
    <row r="4" spans="1:2">
      <c r="A4" s="2" t="s">
        <v>35</v>
      </c>
      <c r="B4" s="3">
        <v>26699.8263888889</v>
      </c>
    </row>
    <row r="5" spans="1:2">
      <c r="A5" s="2" t="s">
        <v>36</v>
      </c>
      <c r="B5" s="3">
        <v>21792.6041666667</v>
      </c>
    </row>
    <row r="6" spans="1:2">
      <c r="A6" s="2" t="s">
        <v>37</v>
      </c>
      <c r="B6" s="3">
        <v>21263.2291666667</v>
      </c>
    </row>
    <row r="7" spans="1:2">
      <c r="A7" s="2" t="s">
        <v>38</v>
      </c>
      <c r="B7" s="3">
        <v>18944.0625</v>
      </c>
    </row>
    <row r="8" spans="1:2">
      <c r="A8" s="2" t="s">
        <v>39</v>
      </c>
      <c r="B8" s="3">
        <v>16679.5138888889</v>
      </c>
    </row>
    <row r="9" spans="1:2">
      <c r="A9" s="2" t="s">
        <v>40</v>
      </c>
      <c r="B9" s="3">
        <v>16461.0416666667</v>
      </c>
    </row>
    <row r="10" spans="1:2">
      <c r="A10" s="2" t="s">
        <v>41</v>
      </c>
      <c r="B10" s="3">
        <v>11513.90625</v>
      </c>
    </row>
    <row r="11" spans="1:2">
      <c r="A11" s="2" t="s">
        <v>42</v>
      </c>
      <c r="B11" s="3">
        <v>10734.5486111111</v>
      </c>
    </row>
  </sheetData>
  <sortState ref="A1:B11">
    <sortCondition ref="B1:B11" descending="1"/>
  </sortState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Crane and geine</vt:lpstr>
      <vt:lpstr>Sheet4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Sahu, Vikash Kumar</dc:creator>
  <cp:lastModifiedBy>Alqama Hasnain</cp:lastModifiedBy>
  <dcterms:created xsi:type="dcterms:W3CDTF">2015-06-05T18:17:00Z</dcterms:created>
  <dcterms:modified xsi:type="dcterms:W3CDTF">2026-07-30T08:26:51Z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f50afb6-ab6e-4e8b-96b5-6e00ab52e29e_Enabled">
    <vt:lpwstr>true</vt:lpwstr>
  </property>
  <property fmtid="{D5CDD505-2E9C-101B-9397-08002B2CF9AE}" pid="3" name="MSIP_Label_2f50afb6-ab6e-4e8b-96b5-6e00ab52e29e_SetDate">
    <vt:lpwstr>2026-05-20T06:50:25Z</vt:lpwstr>
  </property>
  <property fmtid="{D5CDD505-2E9C-101B-9397-08002B2CF9AE}" pid="4" name="MSIP_Label_2f50afb6-ab6e-4e8b-96b5-6e00ab52e29e_Method">
    <vt:lpwstr>Standard</vt:lpwstr>
  </property>
  <property fmtid="{D5CDD505-2E9C-101B-9397-08002B2CF9AE}" pid="5" name="MSIP_Label_2f50afb6-ab6e-4e8b-96b5-6e00ab52e29e_Name">
    <vt:lpwstr>2f50afb6-ab6e-4e8b-96b5-6e00ab52e29e</vt:lpwstr>
  </property>
  <property fmtid="{D5CDD505-2E9C-101B-9397-08002B2CF9AE}" pid="6" name="MSIP_Label_2f50afb6-ab6e-4e8b-96b5-6e00ab52e29e_SiteId">
    <vt:lpwstr>f35425af-4755-4e0c-b1bb-b3cb9f1c6afd</vt:lpwstr>
  </property>
  <property fmtid="{D5CDD505-2E9C-101B-9397-08002B2CF9AE}" pid="7" name="MSIP_Label_2f50afb6-ab6e-4e8b-96b5-6e00ab52e29e_ActionId">
    <vt:lpwstr>12918690-83bf-49c9-bc84-2de74511b9d7</vt:lpwstr>
  </property>
  <property fmtid="{D5CDD505-2E9C-101B-9397-08002B2CF9AE}" pid="8" name="MSIP_Label_2f50afb6-ab6e-4e8b-96b5-6e00ab52e29e_ContentBits">
    <vt:lpwstr>0</vt:lpwstr>
  </property>
  <property fmtid="{D5CDD505-2E9C-101B-9397-08002B2CF9AE}" pid="9" name="MSIP_Label_2f50afb6-ab6e-4e8b-96b5-6e00ab52e29e_Tag">
    <vt:lpwstr>10, 3, 0, 1</vt:lpwstr>
  </property>
  <property fmtid="{D5CDD505-2E9C-101B-9397-08002B2CF9AE}" pid="10" name="ICV">
    <vt:lpwstr>D3697D58A11149DFBEB45796BB243190_12</vt:lpwstr>
  </property>
  <property fmtid="{D5CDD505-2E9C-101B-9397-08002B2CF9AE}" pid="11" name="KSOProductBuildVer">
    <vt:lpwstr>2057-12.2.0.23206</vt:lpwstr>
  </property>
</Properties>
</file>